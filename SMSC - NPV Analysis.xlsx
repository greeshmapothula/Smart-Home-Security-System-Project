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eeshma\Downloads\"/>
    </mc:Choice>
  </mc:AlternateContent>
  <xr:revisionPtr revIDLastSave="0" documentId="13_ncr:1_{CFD25D9A-872B-48A8-BAAB-A34E91E0DD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cenarioParameters" sheetId="1" r:id="rId1"/>
    <sheet name="BaseCase" sheetId="2" r:id="rId2"/>
    <sheet name="+10 UnitCost" sheetId="4" state="hidden" r:id="rId3"/>
    <sheet name="-10 UnitCost" sheetId="5" state="hidden" r:id="rId4"/>
    <sheet name="+20 UnitCost" sheetId="6" state="hidden" r:id="rId5"/>
    <sheet name="-20 UnitCost" sheetId="7" state="hidden" r:id="rId6"/>
    <sheet name="+30 UnitCost" sheetId="8" state="hidden" r:id="rId7"/>
    <sheet name="-30 UnitCost" sheetId="9" state="hidden" r:id="rId8"/>
    <sheet name="+10% SalesVol" sheetId="10" state="hidden" r:id="rId9"/>
    <sheet name="-10% SalesVol" sheetId="11" state="hidden" r:id="rId10"/>
    <sheet name="+20% SalesVol" sheetId="12" state="hidden" r:id="rId11"/>
    <sheet name="-20% SalesVol" sheetId="13" state="hidden" r:id="rId12"/>
    <sheet name="+30% SalesVol" sheetId="14" state="hidden" r:id="rId13"/>
    <sheet name="-30% SalesVol" sheetId="15" state="hidden" r:id="rId14"/>
    <sheet name="SalesVolume_Sensitivity" sheetId="16" r:id="rId15"/>
    <sheet name="DevelopmentCost_Sensitivity" sheetId="17" r:id="rId16"/>
    <sheet name="+10% DevCost" sheetId="18" state="hidden" r:id="rId17"/>
    <sheet name="-10% DevCost" sheetId="19" state="hidden" r:id="rId18"/>
    <sheet name="-20% DevCost" sheetId="20" state="hidden" r:id="rId19"/>
    <sheet name="+20% DevCost" sheetId="21" state="hidden" r:id="rId20"/>
    <sheet name="+30% DevCost" sheetId="22" state="hidden" r:id="rId21"/>
    <sheet name="-30% DevCost" sheetId="23" state="hidden" r:id="rId22"/>
    <sheet name="-1 DevTime" sheetId="24" state="hidden" r:id="rId23"/>
    <sheet name="-2 DevTime" sheetId="25" state="hidden" r:id="rId24"/>
    <sheet name="+1 DevTime" sheetId="26" state="hidden" r:id="rId25"/>
    <sheet name="+2 DevTime" sheetId="27" state="hidden" r:id="rId26"/>
    <sheet name="+3 DevTime" sheetId="28" state="hidden" r:id="rId27"/>
    <sheet name="DevTime_Sensitivity" sheetId="29" state="hidden" r:id="rId28"/>
    <sheet name="UnitCost_Sensitivity" sheetId="30" r:id="rId29"/>
  </sheets>
  <definedNames>
    <definedName name="solver_eng" localSheetId="24">0</definedName>
    <definedName name="solver_eng" localSheetId="2">0</definedName>
    <definedName name="solver_eng" localSheetId="16">0</definedName>
    <definedName name="solver_eng" localSheetId="8">0</definedName>
    <definedName name="solver_eng" localSheetId="25">0</definedName>
    <definedName name="solver_eng" localSheetId="4">0</definedName>
    <definedName name="solver_eng" localSheetId="10">0</definedName>
    <definedName name="solver_eng" localSheetId="6">0</definedName>
    <definedName name="solver_eng" localSheetId="20">0</definedName>
    <definedName name="solver_eng" localSheetId="12">0</definedName>
    <definedName name="solver_eng" localSheetId="22">0</definedName>
    <definedName name="solver_eng" localSheetId="3">0</definedName>
    <definedName name="solver_eng" localSheetId="17">0</definedName>
    <definedName name="solver_eng" localSheetId="9">0</definedName>
    <definedName name="solver_eng" localSheetId="23">0</definedName>
    <definedName name="solver_eng" localSheetId="5">0</definedName>
    <definedName name="solver_eng" localSheetId="11">0</definedName>
    <definedName name="solver_eng" localSheetId="7">0</definedName>
    <definedName name="solver_eng" localSheetId="21">0</definedName>
    <definedName name="solver_eng" localSheetId="13">0</definedName>
    <definedName name="solver_eng" localSheetId="1">0</definedName>
    <definedName name="solver_eng" localSheetId="15">0</definedName>
    <definedName name="solver_eng" localSheetId="14">0</definedName>
    <definedName name="solver_eng" localSheetId="0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qQSS29XEsCri/R9FzkjJYhnNSjZbxIut28Pe4RKhVog="/>
    </ext>
  </extLst>
</workbook>
</file>

<file path=xl/calcChain.xml><?xml version="1.0" encoding="utf-8"?>
<calcChain xmlns="http://schemas.openxmlformats.org/spreadsheetml/2006/main">
  <c r="A5" i="30" l="1"/>
  <c r="A6" i="30" s="1"/>
  <c r="A3" i="30"/>
  <c r="A4" i="30" s="1"/>
  <c r="C4" i="30" s="1"/>
  <c r="A2" i="30"/>
  <c r="C2" i="30" s="1"/>
  <c r="C5" i="29"/>
  <c r="D5" i="29" s="1"/>
  <c r="A4" i="29"/>
  <c r="A3" i="29"/>
  <c r="A2" i="29"/>
  <c r="H16" i="28"/>
  <c r="H17" i="28" s="1"/>
  <c r="E16" i="28"/>
  <c r="D16" i="28"/>
  <c r="Q14" i="28"/>
  <c r="P14" i="28"/>
  <c r="Q13" i="28"/>
  <c r="P13" i="28"/>
  <c r="O13" i="28"/>
  <c r="N13" i="28"/>
  <c r="M13" i="28"/>
  <c r="L13" i="28"/>
  <c r="K13" i="28"/>
  <c r="J13" i="28"/>
  <c r="Q12" i="28"/>
  <c r="P12" i="28"/>
  <c r="O12" i="28"/>
  <c r="O14" i="28" s="1"/>
  <c r="N12" i="28"/>
  <c r="N14" i="28" s="1"/>
  <c r="M12" i="28"/>
  <c r="M14" i="28" s="1"/>
  <c r="L12" i="28"/>
  <c r="L14" i="28" s="1"/>
  <c r="K12" i="28"/>
  <c r="K14" i="28" s="1"/>
  <c r="J12" i="28"/>
  <c r="J14" i="28" s="1"/>
  <c r="Q10" i="28"/>
  <c r="P10" i="28"/>
  <c r="O10" i="28"/>
  <c r="N10" i="28"/>
  <c r="M10" i="28"/>
  <c r="L10" i="28"/>
  <c r="K10" i="28"/>
  <c r="J10" i="28"/>
  <c r="Q9" i="28"/>
  <c r="Q11" i="28" s="1"/>
  <c r="P9" i="28"/>
  <c r="P11" i="28" s="1"/>
  <c r="O9" i="28"/>
  <c r="O11" i="28" s="1"/>
  <c r="N9" i="28"/>
  <c r="N11" i="28" s="1"/>
  <c r="M9" i="28"/>
  <c r="M11" i="28" s="1"/>
  <c r="L9" i="28"/>
  <c r="L11" i="28" s="1"/>
  <c r="K9" i="28"/>
  <c r="K11" i="28" s="1"/>
  <c r="J9" i="28"/>
  <c r="J11" i="28" s="1"/>
  <c r="Q8" i="28"/>
  <c r="Q16" i="28" s="1"/>
  <c r="Q17" i="28" s="1"/>
  <c r="P8" i="28"/>
  <c r="P16" i="28" s="1"/>
  <c r="P17" i="28" s="1"/>
  <c r="O8" i="28"/>
  <c r="O16" i="28" s="1"/>
  <c r="N8" i="28"/>
  <c r="N16" i="28" s="1"/>
  <c r="M8" i="28"/>
  <c r="M16" i="28" s="1"/>
  <c r="M17" i="28" s="1"/>
  <c r="L8" i="28"/>
  <c r="L16" i="28" s="1"/>
  <c r="L17" i="28" s="1"/>
  <c r="K8" i="28"/>
  <c r="K16" i="28" s="1"/>
  <c r="J8" i="28"/>
  <c r="J16" i="28" s="1"/>
  <c r="I8" i="28"/>
  <c r="I7" i="28"/>
  <c r="H7" i="28"/>
  <c r="H6" i="28"/>
  <c r="G6" i="28"/>
  <c r="G16" i="28" s="1"/>
  <c r="G17" i="28" s="1"/>
  <c r="F6" i="28"/>
  <c r="F16" i="28" s="1"/>
  <c r="F17" i="28" s="1"/>
  <c r="E6" i="28"/>
  <c r="D6" i="28"/>
  <c r="C6" i="28"/>
  <c r="C16" i="28" s="1"/>
  <c r="C17" i="28" s="1"/>
  <c r="B6" i="28"/>
  <c r="C3" i="28"/>
  <c r="D3" i="28" s="1"/>
  <c r="E3" i="28" s="1"/>
  <c r="F3" i="28" s="1"/>
  <c r="G3" i="28" s="1"/>
  <c r="H3" i="28" s="1"/>
  <c r="I3" i="28" s="1"/>
  <c r="J3" i="28" s="1"/>
  <c r="K3" i="28" s="1"/>
  <c r="L3" i="28" s="1"/>
  <c r="M3" i="28" s="1"/>
  <c r="N3" i="28" s="1"/>
  <c r="O3" i="28" s="1"/>
  <c r="P3" i="28" s="1"/>
  <c r="Q3" i="28" s="1"/>
  <c r="N16" i="27"/>
  <c r="J16" i="27"/>
  <c r="J17" i="27" s="1"/>
  <c r="C16" i="27"/>
  <c r="C17" i="27" s="1"/>
  <c r="N14" i="27"/>
  <c r="J14" i="27"/>
  <c r="Q13" i="27"/>
  <c r="P13" i="27"/>
  <c r="O13" i="27"/>
  <c r="O14" i="27" s="1"/>
  <c r="N13" i="27"/>
  <c r="M13" i="27"/>
  <c r="L13" i="27"/>
  <c r="K13" i="27"/>
  <c r="K14" i="27" s="1"/>
  <c r="J13" i="27"/>
  <c r="I13" i="27"/>
  <c r="Q12" i="27"/>
  <c r="Q14" i="27" s="1"/>
  <c r="P12" i="27"/>
  <c r="P14" i="27" s="1"/>
  <c r="O12" i="27"/>
  <c r="N12" i="27"/>
  <c r="M12" i="27"/>
  <c r="M14" i="27" s="1"/>
  <c r="L12" i="27"/>
  <c r="L14" i="27" s="1"/>
  <c r="K12" i="27"/>
  <c r="J12" i="27"/>
  <c r="I12" i="27"/>
  <c r="I14" i="27" s="1"/>
  <c r="Q11" i="27"/>
  <c r="N11" i="27"/>
  <c r="M11" i="27"/>
  <c r="I11" i="27"/>
  <c r="Q10" i="27"/>
  <c r="P10" i="27"/>
  <c r="O10" i="27"/>
  <c r="N10" i="27"/>
  <c r="M10" i="27"/>
  <c r="L10" i="27"/>
  <c r="K10" i="27"/>
  <c r="J10" i="27"/>
  <c r="J11" i="27" s="1"/>
  <c r="I10" i="27"/>
  <c r="Q9" i="27"/>
  <c r="P9" i="27"/>
  <c r="P11" i="27" s="1"/>
  <c r="O9" i="27"/>
  <c r="N9" i="27"/>
  <c r="M9" i="27"/>
  <c r="L9" i="27"/>
  <c r="L11" i="27" s="1"/>
  <c r="K9" i="27"/>
  <c r="K11" i="27" s="1"/>
  <c r="J9" i="27"/>
  <c r="I9" i="27"/>
  <c r="Q8" i="27"/>
  <c r="Q16" i="27" s="1"/>
  <c r="P8" i="27"/>
  <c r="O8" i="27"/>
  <c r="N8" i="27"/>
  <c r="M8" i="27"/>
  <c r="M16" i="27" s="1"/>
  <c r="L8" i="27"/>
  <c r="K8" i="27"/>
  <c r="J8" i="27"/>
  <c r="I8" i="27"/>
  <c r="I16" i="27" s="1"/>
  <c r="H8" i="27"/>
  <c r="H16" i="27" s="1"/>
  <c r="H7" i="27"/>
  <c r="G7" i="27"/>
  <c r="G6" i="27"/>
  <c r="G16" i="27" s="1"/>
  <c r="F6" i="27"/>
  <c r="F16" i="27" s="1"/>
  <c r="F17" i="27" s="1"/>
  <c r="E6" i="27"/>
  <c r="E16" i="27" s="1"/>
  <c r="E17" i="27" s="1"/>
  <c r="D6" i="27"/>
  <c r="D16" i="27" s="1"/>
  <c r="C6" i="27"/>
  <c r="B6" i="27"/>
  <c r="C3" i="29" s="1"/>
  <c r="D3" i="29" s="1"/>
  <c r="J3" i="27"/>
  <c r="K3" i="27" s="1"/>
  <c r="L3" i="27" s="1"/>
  <c r="M3" i="27" s="1"/>
  <c r="N3" i="27" s="1"/>
  <c r="O3" i="27" s="1"/>
  <c r="P3" i="27" s="1"/>
  <c r="Q3" i="27" s="1"/>
  <c r="C3" i="27"/>
  <c r="D3" i="27" s="1"/>
  <c r="E3" i="27" s="1"/>
  <c r="F3" i="27" s="1"/>
  <c r="G3" i="27" s="1"/>
  <c r="H3" i="27" s="1"/>
  <c r="I3" i="27" s="1"/>
  <c r="B17" i="26"/>
  <c r="J16" i="26"/>
  <c r="G16" i="26"/>
  <c r="F16" i="26"/>
  <c r="F17" i="26" s="1"/>
  <c r="C16" i="26"/>
  <c r="C17" i="26" s="1"/>
  <c r="B16" i="26"/>
  <c r="J14" i="26"/>
  <c r="Q13" i="26"/>
  <c r="P13" i="26"/>
  <c r="O13" i="26"/>
  <c r="N13" i="26"/>
  <c r="M13" i="26"/>
  <c r="L13" i="26"/>
  <c r="K13" i="26"/>
  <c r="J13" i="26"/>
  <c r="I13" i="26"/>
  <c r="H13" i="26"/>
  <c r="Q12" i="26"/>
  <c r="P12" i="26"/>
  <c r="P14" i="26" s="1"/>
  <c r="O12" i="26"/>
  <c r="N12" i="26"/>
  <c r="N14" i="26" s="1"/>
  <c r="M12" i="26"/>
  <c r="L12" i="26"/>
  <c r="L14" i="26" s="1"/>
  <c r="K12" i="26"/>
  <c r="K14" i="26" s="1"/>
  <c r="J12" i="26"/>
  <c r="I12" i="26"/>
  <c r="H12" i="26"/>
  <c r="H14" i="26" s="1"/>
  <c r="Q11" i="26"/>
  <c r="L11" i="26"/>
  <c r="I11" i="26"/>
  <c r="Q10" i="26"/>
  <c r="P10" i="26"/>
  <c r="O10" i="26"/>
  <c r="N10" i="26"/>
  <c r="M10" i="26"/>
  <c r="L10" i="26"/>
  <c r="K10" i="26"/>
  <c r="J10" i="26"/>
  <c r="I10" i="26"/>
  <c r="H10" i="26"/>
  <c r="Q9" i="26"/>
  <c r="P9" i="26"/>
  <c r="P11" i="26" s="1"/>
  <c r="O9" i="26"/>
  <c r="N9" i="26"/>
  <c r="N11" i="26" s="1"/>
  <c r="M9" i="26"/>
  <c r="M11" i="26" s="1"/>
  <c r="L9" i="26"/>
  <c r="K9" i="26"/>
  <c r="J9" i="26"/>
  <c r="J11" i="26" s="1"/>
  <c r="I9" i="26"/>
  <c r="H9" i="26"/>
  <c r="H11" i="26" s="1"/>
  <c r="Q8" i="26"/>
  <c r="P8" i="26"/>
  <c r="P16" i="26" s="1"/>
  <c r="P17" i="26" s="1"/>
  <c r="O8" i="26"/>
  <c r="N8" i="26"/>
  <c r="N16" i="26" s="1"/>
  <c r="M8" i="26"/>
  <c r="L8" i="26"/>
  <c r="L16" i="26" s="1"/>
  <c r="L17" i="26" s="1"/>
  <c r="K8" i="26"/>
  <c r="J8" i="26"/>
  <c r="I8" i="26"/>
  <c r="H8" i="26"/>
  <c r="H16" i="26" s="1"/>
  <c r="H17" i="26" s="1"/>
  <c r="G8" i="26"/>
  <c r="G7" i="26"/>
  <c r="F7" i="26"/>
  <c r="F6" i="26"/>
  <c r="E6" i="26"/>
  <c r="E16" i="26" s="1"/>
  <c r="D6" i="26"/>
  <c r="D16" i="26" s="1"/>
  <c r="D17" i="26" s="1"/>
  <c r="C6" i="26"/>
  <c r="B6" i="26"/>
  <c r="I3" i="26"/>
  <c r="J3" i="26" s="1"/>
  <c r="K3" i="26" s="1"/>
  <c r="L3" i="26" s="1"/>
  <c r="M3" i="26" s="1"/>
  <c r="N3" i="26" s="1"/>
  <c r="O3" i="26" s="1"/>
  <c r="P3" i="26" s="1"/>
  <c r="Q3" i="26" s="1"/>
  <c r="D3" i="26"/>
  <c r="E3" i="26" s="1"/>
  <c r="F3" i="26" s="1"/>
  <c r="G3" i="26" s="1"/>
  <c r="H3" i="26" s="1"/>
  <c r="C3" i="26"/>
  <c r="L17" i="25"/>
  <c r="M16" i="25"/>
  <c r="L16" i="25"/>
  <c r="E16" i="25"/>
  <c r="E17" i="25" s="1"/>
  <c r="P14" i="25"/>
  <c r="L14" i="25"/>
  <c r="H14" i="25"/>
  <c r="Q13" i="25"/>
  <c r="Q14" i="25" s="1"/>
  <c r="P13" i="25"/>
  <c r="O13" i="25"/>
  <c r="N13" i="25"/>
  <c r="M13" i="25"/>
  <c r="M14" i="25" s="1"/>
  <c r="L13" i="25"/>
  <c r="K13" i="25"/>
  <c r="J13" i="25"/>
  <c r="I13" i="25"/>
  <c r="I14" i="25" s="1"/>
  <c r="H13" i="25"/>
  <c r="G13" i="25"/>
  <c r="F13" i="25"/>
  <c r="E13" i="25"/>
  <c r="E14" i="25" s="1"/>
  <c r="Q12" i="25"/>
  <c r="P12" i="25"/>
  <c r="O12" i="25"/>
  <c r="O14" i="25" s="1"/>
  <c r="N12" i="25"/>
  <c r="N14" i="25" s="1"/>
  <c r="M12" i="25"/>
  <c r="L12" i="25"/>
  <c r="K12" i="25"/>
  <c r="K14" i="25" s="1"/>
  <c r="J12" i="25"/>
  <c r="J14" i="25" s="1"/>
  <c r="I12" i="25"/>
  <c r="H12" i="25"/>
  <c r="G12" i="25"/>
  <c r="G14" i="25" s="1"/>
  <c r="F12" i="25"/>
  <c r="F14" i="25" s="1"/>
  <c r="E12" i="25"/>
  <c r="P11" i="25"/>
  <c r="L11" i="25"/>
  <c r="K11" i="25"/>
  <c r="Q10" i="25"/>
  <c r="Q11" i="25" s="1"/>
  <c r="P10" i="25"/>
  <c r="O10" i="25"/>
  <c r="N10" i="25"/>
  <c r="M10" i="25"/>
  <c r="L10" i="25"/>
  <c r="K10" i="25"/>
  <c r="J10" i="25"/>
  <c r="I10" i="25"/>
  <c r="I11" i="25" s="1"/>
  <c r="H10" i="25"/>
  <c r="H11" i="25" s="1"/>
  <c r="G10" i="25"/>
  <c r="F10" i="25"/>
  <c r="E10" i="25"/>
  <c r="E11" i="25" s="1"/>
  <c r="Q9" i="25"/>
  <c r="Q16" i="25" s="1"/>
  <c r="P9" i="25"/>
  <c r="O9" i="25"/>
  <c r="O11" i="25" s="1"/>
  <c r="N9" i="25"/>
  <c r="N11" i="25" s="1"/>
  <c r="M9" i="25"/>
  <c r="M11" i="25" s="1"/>
  <c r="L9" i="25"/>
  <c r="K9" i="25"/>
  <c r="J9" i="25"/>
  <c r="J11" i="25" s="1"/>
  <c r="I9" i="25"/>
  <c r="I16" i="25" s="1"/>
  <c r="H9" i="25"/>
  <c r="G9" i="25"/>
  <c r="G11" i="25" s="1"/>
  <c r="F9" i="25"/>
  <c r="F11" i="25" s="1"/>
  <c r="E9" i="25"/>
  <c r="Q8" i="25"/>
  <c r="P8" i="25"/>
  <c r="P16" i="25" s="1"/>
  <c r="O8" i="25"/>
  <c r="O16" i="25" s="1"/>
  <c r="N8" i="25"/>
  <c r="M8" i="25"/>
  <c r="L8" i="25"/>
  <c r="K8" i="25"/>
  <c r="K16" i="25" s="1"/>
  <c r="J8" i="25"/>
  <c r="I8" i="25"/>
  <c r="H8" i="25"/>
  <c r="H16" i="25" s="1"/>
  <c r="G8" i="25"/>
  <c r="G16" i="25" s="1"/>
  <c r="F8" i="25"/>
  <c r="E8" i="25"/>
  <c r="D8" i="25"/>
  <c r="D16" i="25" s="1"/>
  <c r="D17" i="25" s="1"/>
  <c r="E7" i="25"/>
  <c r="D7" i="25"/>
  <c r="C7" i="25"/>
  <c r="C6" i="25"/>
  <c r="C16" i="25" s="1"/>
  <c r="C17" i="25" s="1"/>
  <c r="B6" i="25"/>
  <c r="I3" i="25"/>
  <c r="J3" i="25" s="1"/>
  <c r="K3" i="25" s="1"/>
  <c r="L3" i="25" s="1"/>
  <c r="M3" i="25" s="1"/>
  <c r="N3" i="25" s="1"/>
  <c r="O3" i="25" s="1"/>
  <c r="P3" i="25" s="1"/>
  <c r="Q3" i="25" s="1"/>
  <c r="F3" i="25"/>
  <c r="G3" i="25" s="1"/>
  <c r="H3" i="25" s="1"/>
  <c r="C3" i="25"/>
  <c r="D3" i="25" s="1"/>
  <c r="E3" i="25" s="1"/>
  <c r="Q16" i="24"/>
  <c r="J16" i="24"/>
  <c r="J17" i="24" s="1"/>
  <c r="B16" i="24"/>
  <c r="B17" i="24" s="1"/>
  <c r="B19" i="24" s="1"/>
  <c r="E6" i="29" s="1"/>
  <c r="Q14" i="24"/>
  <c r="J14" i="24"/>
  <c r="I14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Q12" i="24"/>
  <c r="P12" i="24"/>
  <c r="P14" i="24" s="1"/>
  <c r="O12" i="24"/>
  <c r="O14" i="24" s="1"/>
  <c r="N12" i="24"/>
  <c r="N14" i="24" s="1"/>
  <c r="M12" i="24"/>
  <c r="M14" i="24" s="1"/>
  <c r="L12" i="24"/>
  <c r="L14" i="24" s="1"/>
  <c r="K12" i="24"/>
  <c r="K14" i="24" s="1"/>
  <c r="J12" i="24"/>
  <c r="I12" i="24"/>
  <c r="H12" i="24"/>
  <c r="H14" i="24" s="1"/>
  <c r="G12" i="24"/>
  <c r="G14" i="24" s="1"/>
  <c r="F12" i="24"/>
  <c r="F14" i="24" s="1"/>
  <c r="M11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Q9" i="24"/>
  <c r="Q11" i="24" s="1"/>
  <c r="P9" i="24"/>
  <c r="P11" i="24" s="1"/>
  <c r="O9" i="24"/>
  <c r="O11" i="24" s="1"/>
  <c r="N9" i="24"/>
  <c r="N11" i="24" s="1"/>
  <c r="M9" i="24"/>
  <c r="L9" i="24"/>
  <c r="L11" i="24" s="1"/>
  <c r="K9" i="24"/>
  <c r="K11" i="24" s="1"/>
  <c r="J9" i="24"/>
  <c r="J11" i="24" s="1"/>
  <c r="I9" i="24"/>
  <c r="I11" i="24" s="1"/>
  <c r="H9" i="24"/>
  <c r="H11" i="24" s="1"/>
  <c r="G9" i="24"/>
  <c r="G11" i="24" s="1"/>
  <c r="F9" i="24"/>
  <c r="F11" i="24" s="1"/>
  <c r="Q8" i="24"/>
  <c r="P8" i="24"/>
  <c r="P16" i="24" s="1"/>
  <c r="O8" i="24"/>
  <c r="O16" i="24" s="1"/>
  <c r="N8" i="24"/>
  <c r="N16" i="24" s="1"/>
  <c r="M8" i="24"/>
  <c r="M16" i="24" s="1"/>
  <c r="L8" i="24"/>
  <c r="L16" i="24" s="1"/>
  <c r="K8" i="24"/>
  <c r="K16" i="24" s="1"/>
  <c r="J8" i="24"/>
  <c r="I8" i="24"/>
  <c r="I16" i="24" s="1"/>
  <c r="I17" i="24" s="1"/>
  <c r="H8" i="24"/>
  <c r="H16" i="24" s="1"/>
  <c r="G8" i="24"/>
  <c r="G16" i="24" s="1"/>
  <c r="F8" i="24"/>
  <c r="F16" i="24" s="1"/>
  <c r="F17" i="24" s="1"/>
  <c r="E8" i="24"/>
  <c r="E16" i="24" s="1"/>
  <c r="E17" i="24" s="1"/>
  <c r="E7" i="24"/>
  <c r="D7" i="24"/>
  <c r="D6" i="24"/>
  <c r="D16" i="24" s="1"/>
  <c r="D17" i="24" s="1"/>
  <c r="C6" i="24"/>
  <c r="C16" i="24" s="1"/>
  <c r="C17" i="24" s="1"/>
  <c r="B6" i="24"/>
  <c r="O3" i="24"/>
  <c r="P3" i="24" s="1"/>
  <c r="Q3" i="24" s="1"/>
  <c r="L3" i="24"/>
  <c r="M3" i="24" s="1"/>
  <c r="N3" i="24" s="1"/>
  <c r="G3" i="24"/>
  <c r="H3" i="24" s="1"/>
  <c r="I3" i="24" s="1"/>
  <c r="J3" i="24" s="1"/>
  <c r="K3" i="24" s="1"/>
  <c r="D3" i="24"/>
  <c r="E3" i="24" s="1"/>
  <c r="F3" i="24" s="1"/>
  <c r="C3" i="24"/>
  <c r="C17" i="23"/>
  <c r="D16" i="23"/>
  <c r="D17" i="23" s="1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F7" i="23"/>
  <c r="E7" i="23"/>
  <c r="E6" i="23"/>
  <c r="D6" i="23"/>
  <c r="C6" i="23"/>
  <c r="C16" i="23" s="1"/>
  <c r="B6" i="23"/>
  <c r="B16" i="23" s="1"/>
  <c r="B17" i="23" s="1"/>
  <c r="G3" i="23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F3" i="23"/>
  <c r="C3" i="23"/>
  <c r="D3" i="23" s="1"/>
  <c r="E3" i="23" s="1"/>
  <c r="C17" i="22"/>
  <c r="C16" i="22"/>
  <c r="B16" i="22"/>
  <c r="B17" i="22" s="1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F7" i="22"/>
  <c r="E7" i="22"/>
  <c r="E6" i="22"/>
  <c r="E16" i="22" s="1"/>
  <c r="D6" i="22"/>
  <c r="D16" i="22" s="1"/>
  <c r="D17" i="22" s="1"/>
  <c r="C6" i="22"/>
  <c r="B6" i="22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C3" i="22"/>
  <c r="B17" i="21"/>
  <c r="E16" i="21"/>
  <c r="E17" i="21" s="1"/>
  <c r="D16" i="21"/>
  <c r="D17" i="21" s="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F7" i="21"/>
  <c r="E7" i="21"/>
  <c r="E6" i="21"/>
  <c r="D6" i="21"/>
  <c r="C6" i="21"/>
  <c r="C16" i="21" s="1"/>
  <c r="C17" i="21" s="1"/>
  <c r="B6" i="21"/>
  <c r="B16" i="21" s="1"/>
  <c r="R3" i="21"/>
  <c r="S3" i="21" s="1"/>
  <c r="T3" i="21" s="1"/>
  <c r="U3" i="21" s="1"/>
  <c r="G3" i="2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F3" i="21"/>
  <c r="D3" i="21"/>
  <c r="E3" i="21" s="1"/>
  <c r="C3" i="21"/>
  <c r="D16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F7" i="20"/>
  <c r="E7" i="20"/>
  <c r="E6" i="20"/>
  <c r="E16" i="20" s="1"/>
  <c r="D6" i="20"/>
  <c r="C6" i="20"/>
  <c r="C16" i="20" s="1"/>
  <c r="C17" i="20" s="1"/>
  <c r="B6" i="20"/>
  <c r="B16" i="20" s="1"/>
  <c r="B17" i="20" s="1"/>
  <c r="C3" i="20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B17" i="19"/>
  <c r="E16" i="19"/>
  <c r="B16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F7" i="19"/>
  <c r="E7" i="19"/>
  <c r="E6" i="19"/>
  <c r="D6" i="19"/>
  <c r="D16" i="19" s="1"/>
  <c r="D17" i="19" s="1"/>
  <c r="C6" i="19"/>
  <c r="C16" i="19" s="1"/>
  <c r="C17" i="19" s="1"/>
  <c r="B6" i="19"/>
  <c r="C3" i="19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E16" i="18"/>
  <c r="E17" i="18" s="1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F7" i="18"/>
  <c r="E7" i="18"/>
  <c r="E6" i="18"/>
  <c r="D6" i="18"/>
  <c r="D16" i="18" s="1"/>
  <c r="C6" i="18"/>
  <c r="C16" i="18" s="1"/>
  <c r="C17" i="18" s="1"/>
  <c r="B6" i="18"/>
  <c r="B16" i="18" s="1"/>
  <c r="B17" i="18" s="1"/>
  <c r="P3" i="18"/>
  <c r="Q3" i="18" s="1"/>
  <c r="R3" i="18" s="1"/>
  <c r="S3" i="18" s="1"/>
  <c r="T3" i="18" s="1"/>
  <c r="U3" i="18" s="1"/>
  <c r="D3" i="18"/>
  <c r="E3" i="18" s="1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C3" i="18"/>
  <c r="D8" i="17"/>
  <c r="C8" i="17"/>
  <c r="A8" i="17"/>
  <c r="C7" i="17"/>
  <c r="D7" i="17" s="1"/>
  <c r="A7" i="17"/>
  <c r="D6" i="17"/>
  <c r="C6" i="17"/>
  <c r="A6" i="17"/>
  <c r="C5" i="17"/>
  <c r="D5" i="17" s="1"/>
  <c r="A5" i="17"/>
  <c r="D4" i="17"/>
  <c r="C4" i="17"/>
  <c r="A4" i="17"/>
  <c r="C3" i="17"/>
  <c r="D3" i="17" s="1"/>
  <c r="A3" i="17"/>
  <c r="D2" i="17"/>
  <c r="C2" i="17"/>
  <c r="A2" i="17"/>
  <c r="D16" i="15"/>
  <c r="D17" i="15" s="1"/>
  <c r="C16" i="15"/>
  <c r="C17" i="15" s="1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F7" i="15"/>
  <c r="E7" i="15"/>
  <c r="E6" i="15"/>
  <c r="E16" i="15" s="1"/>
  <c r="E17" i="15" s="1"/>
  <c r="D6" i="15"/>
  <c r="C6" i="15"/>
  <c r="B6" i="15"/>
  <c r="B16" i="15" s="1"/>
  <c r="B17" i="15" s="1"/>
  <c r="Q3" i="15"/>
  <c r="R3" i="15" s="1"/>
  <c r="S3" i="15" s="1"/>
  <c r="T3" i="15" s="1"/>
  <c r="U3" i="15" s="1"/>
  <c r="E3" i="15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D3" i="15"/>
  <c r="C3" i="15"/>
  <c r="E16" i="14"/>
  <c r="B16" i="14"/>
  <c r="B17" i="14" s="1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F7" i="14"/>
  <c r="E7" i="14"/>
  <c r="E6" i="14"/>
  <c r="D6" i="14"/>
  <c r="D16" i="14" s="1"/>
  <c r="C6" i="14"/>
  <c r="C16" i="14" s="1"/>
  <c r="C17" i="14" s="1"/>
  <c r="B6" i="14"/>
  <c r="L3" i="14"/>
  <c r="M3" i="14" s="1"/>
  <c r="N3" i="14" s="1"/>
  <c r="O3" i="14" s="1"/>
  <c r="P3" i="14" s="1"/>
  <c r="Q3" i="14" s="1"/>
  <c r="R3" i="14" s="1"/>
  <c r="S3" i="14" s="1"/>
  <c r="T3" i="14" s="1"/>
  <c r="U3" i="14" s="1"/>
  <c r="D3" i="14"/>
  <c r="E3" i="14" s="1"/>
  <c r="F3" i="14" s="1"/>
  <c r="G3" i="14" s="1"/>
  <c r="H3" i="14" s="1"/>
  <c r="I3" i="14" s="1"/>
  <c r="J3" i="14" s="1"/>
  <c r="K3" i="14" s="1"/>
  <c r="C3" i="14"/>
  <c r="C17" i="13"/>
  <c r="D16" i="13"/>
  <c r="D17" i="13" s="1"/>
  <c r="C16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F7" i="13"/>
  <c r="E7" i="13"/>
  <c r="E6" i="13"/>
  <c r="E16" i="13" s="1"/>
  <c r="E17" i="13" s="1"/>
  <c r="D6" i="13"/>
  <c r="C6" i="13"/>
  <c r="B6" i="13"/>
  <c r="B16" i="13" s="1"/>
  <c r="B17" i="13" s="1"/>
  <c r="E3" i="13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D3" i="13"/>
  <c r="C3" i="13"/>
  <c r="E16" i="12"/>
  <c r="B16" i="12"/>
  <c r="B17" i="12" s="1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F7" i="12"/>
  <c r="E7" i="12"/>
  <c r="E6" i="12"/>
  <c r="D6" i="12"/>
  <c r="D16" i="12" s="1"/>
  <c r="C6" i="12"/>
  <c r="C16" i="12" s="1"/>
  <c r="C17" i="12" s="1"/>
  <c r="B6" i="12"/>
  <c r="G3" i="12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C3" i="12"/>
  <c r="D3" i="12" s="1"/>
  <c r="E3" i="12" s="1"/>
  <c r="F3" i="12" s="1"/>
  <c r="C17" i="11"/>
  <c r="D16" i="11"/>
  <c r="D17" i="11" s="1"/>
  <c r="C16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F7" i="11"/>
  <c r="E7" i="11"/>
  <c r="E6" i="11"/>
  <c r="D6" i="11"/>
  <c r="C6" i="11"/>
  <c r="B6" i="11"/>
  <c r="B16" i="11" s="1"/>
  <c r="B17" i="11" s="1"/>
  <c r="D3" i="1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C3" i="11"/>
  <c r="C16" i="10"/>
  <c r="C17" i="10" s="1"/>
  <c r="B16" i="10"/>
  <c r="B17" i="10" s="1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F7" i="10"/>
  <c r="E7" i="10"/>
  <c r="E6" i="10"/>
  <c r="E16" i="10" s="1"/>
  <c r="D6" i="10"/>
  <c r="D16" i="10" s="1"/>
  <c r="D17" i="10" s="1"/>
  <c r="C6" i="10"/>
  <c r="B6" i="10"/>
  <c r="H3" i="10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D3" i="10"/>
  <c r="E3" i="10" s="1"/>
  <c r="F3" i="10" s="1"/>
  <c r="G3" i="10" s="1"/>
  <c r="C3" i="10"/>
  <c r="D16" i="9"/>
  <c r="D17" i="9" s="1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F7" i="9"/>
  <c r="E7" i="9"/>
  <c r="E16" i="9" s="1"/>
  <c r="E17" i="9" s="1"/>
  <c r="E6" i="9"/>
  <c r="D6" i="9"/>
  <c r="C6" i="9"/>
  <c r="C16" i="9" s="1"/>
  <c r="C17" i="9" s="1"/>
  <c r="B6" i="9"/>
  <c r="B16" i="9" s="1"/>
  <c r="B17" i="9" s="1"/>
  <c r="F3" i="9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C3" i="9"/>
  <c r="D3" i="9" s="1"/>
  <c r="E3" i="9" s="1"/>
  <c r="C17" i="8"/>
  <c r="C16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F7" i="8"/>
  <c r="E7" i="8"/>
  <c r="E6" i="8"/>
  <c r="E16" i="8" s="1"/>
  <c r="D6" i="8"/>
  <c r="D16" i="8" s="1"/>
  <c r="D17" i="8" s="1"/>
  <c r="C6" i="8"/>
  <c r="B6" i="8"/>
  <c r="B16" i="8" s="1"/>
  <c r="B17" i="8" s="1"/>
  <c r="D3" i="8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C3" i="8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F7" i="7"/>
  <c r="E7" i="7"/>
  <c r="E6" i="7"/>
  <c r="E16" i="7" s="1"/>
  <c r="D6" i="7"/>
  <c r="D16" i="7" s="1"/>
  <c r="D17" i="7" s="1"/>
  <c r="C6" i="7"/>
  <c r="C16" i="7" s="1"/>
  <c r="C17" i="7" s="1"/>
  <c r="B6" i="7"/>
  <c r="B16" i="7" s="1"/>
  <c r="B17" i="7" s="1"/>
  <c r="C3" i="7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B17" i="6"/>
  <c r="B16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F7" i="6"/>
  <c r="E7" i="6"/>
  <c r="E6" i="6"/>
  <c r="E16" i="6" s="1"/>
  <c r="D6" i="6"/>
  <c r="D16" i="6" s="1"/>
  <c r="D17" i="6" s="1"/>
  <c r="C6" i="6"/>
  <c r="C16" i="6" s="1"/>
  <c r="C17" i="6" s="1"/>
  <c r="B6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C3" i="6"/>
  <c r="D17" i="5"/>
  <c r="D16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F7" i="5"/>
  <c r="E7" i="5"/>
  <c r="E6" i="5"/>
  <c r="E16" i="5" s="1"/>
  <c r="D6" i="5"/>
  <c r="C6" i="5"/>
  <c r="C16" i="5" s="1"/>
  <c r="C17" i="5" s="1"/>
  <c r="B6" i="5"/>
  <c r="B16" i="5" s="1"/>
  <c r="B17" i="5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B17" i="4"/>
  <c r="B16" i="4"/>
  <c r="F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F7" i="4"/>
  <c r="E7" i="4"/>
  <c r="E6" i="4"/>
  <c r="E16" i="4" s="1"/>
  <c r="E17" i="4" s="1"/>
  <c r="D6" i="4"/>
  <c r="D16" i="4" s="1"/>
  <c r="D17" i="4" s="1"/>
  <c r="C6" i="4"/>
  <c r="C16" i="4" s="1"/>
  <c r="C17" i="4" s="1"/>
  <c r="B6" i="4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C3" i="4"/>
  <c r="D17" i="2"/>
  <c r="D16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F7" i="2"/>
  <c r="E7" i="2"/>
  <c r="E6" i="2"/>
  <c r="E16" i="2" s="1"/>
  <c r="E17" i="2" s="1"/>
  <c r="D6" i="2"/>
  <c r="C6" i="2"/>
  <c r="C16" i="2" s="1"/>
  <c r="C17" i="2" s="1"/>
  <c r="B6" i="2"/>
  <c r="B16" i="2" s="1"/>
  <c r="B17" i="2" s="1"/>
  <c r="D3" i="2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C3" i="2"/>
  <c r="G18" i="1"/>
  <c r="G17" i="1"/>
  <c r="T10" i="6" s="1"/>
  <c r="G16" i="1"/>
  <c r="S9" i="11" s="1"/>
  <c r="G15" i="1"/>
  <c r="R10" i="4" s="1"/>
  <c r="R13" i="4" s="1"/>
  <c r="G14" i="1"/>
  <c r="G13" i="1"/>
  <c r="P10" i="13" s="1"/>
  <c r="G12" i="1"/>
  <c r="O10" i="6" s="1"/>
  <c r="G11" i="1"/>
  <c r="N9" i="11" s="1"/>
  <c r="G10" i="1"/>
  <c r="G9" i="1"/>
  <c r="L10" i="8" s="1"/>
  <c r="G8" i="1"/>
  <c r="K10" i="8" s="1"/>
  <c r="G7" i="1"/>
  <c r="J9" i="8" s="1"/>
  <c r="G6" i="1"/>
  <c r="G5" i="1"/>
  <c r="H10" i="11" s="1"/>
  <c r="G4" i="1"/>
  <c r="G10" i="8" s="1"/>
  <c r="G3" i="1"/>
  <c r="F10" i="6" s="1"/>
  <c r="G1" i="1"/>
  <c r="F10" i="4" l="1"/>
  <c r="O9" i="8"/>
  <c r="J9" i="6"/>
  <c r="N10" i="10"/>
  <c r="N12" i="10" s="1"/>
  <c r="N16" i="10" s="1"/>
  <c r="N17" i="10" s="1"/>
  <c r="T9" i="5"/>
  <c r="J10" i="6"/>
  <c r="J13" i="6" s="1"/>
  <c r="P9" i="2"/>
  <c r="H9" i="7"/>
  <c r="T9" i="2"/>
  <c r="T10" i="2"/>
  <c r="T12" i="2" s="1"/>
  <c r="J9" i="4"/>
  <c r="J10" i="4"/>
  <c r="J13" i="4" s="1"/>
  <c r="H9" i="5"/>
  <c r="H10" i="5"/>
  <c r="H13" i="5" s="1"/>
  <c r="N9" i="6"/>
  <c r="N10" i="6"/>
  <c r="N13" i="6" s="1"/>
  <c r="L9" i="7"/>
  <c r="P10" i="7"/>
  <c r="P13" i="7" s="1"/>
  <c r="J10" i="8"/>
  <c r="J12" i="8" s="1"/>
  <c r="J16" i="8" s="1"/>
  <c r="J17" i="8" s="1"/>
  <c r="P10" i="2"/>
  <c r="P13" i="2" s="1"/>
  <c r="L10" i="7"/>
  <c r="L13" i="7" s="1"/>
  <c r="T10" i="9"/>
  <c r="T13" i="9" s="1"/>
  <c r="H9" i="2"/>
  <c r="H10" i="2"/>
  <c r="H13" i="2" s="1"/>
  <c r="N9" i="4"/>
  <c r="N10" i="4"/>
  <c r="N13" i="4" s="1"/>
  <c r="L9" i="5"/>
  <c r="L10" i="5"/>
  <c r="L13" i="5" s="1"/>
  <c r="R9" i="6"/>
  <c r="R10" i="6"/>
  <c r="R13" i="6" s="1"/>
  <c r="P9" i="7"/>
  <c r="T10" i="7"/>
  <c r="T13" i="7" s="1"/>
  <c r="O10" i="8"/>
  <c r="O13" i="8" s="1"/>
  <c r="L9" i="9"/>
  <c r="P9" i="13"/>
  <c r="P11" i="13" s="1"/>
  <c r="T10" i="5"/>
  <c r="T13" i="5" s="1"/>
  <c r="O11" i="8"/>
  <c r="L9" i="2"/>
  <c r="L10" i="2"/>
  <c r="L12" i="2" s="1"/>
  <c r="R9" i="4"/>
  <c r="R11" i="4" s="1"/>
  <c r="P9" i="5"/>
  <c r="P10" i="5"/>
  <c r="P13" i="5" s="1"/>
  <c r="F9" i="6"/>
  <c r="F11" i="6" s="1"/>
  <c r="H10" i="7"/>
  <c r="H13" i="7" s="1"/>
  <c r="T10" i="8"/>
  <c r="T12" i="8" s="1"/>
  <c r="L10" i="9"/>
  <c r="L13" i="9" s="1"/>
  <c r="N9" i="10"/>
  <c r="K13" i="8"/>
  <c r="K12" i="8"/>
  <c r="E17" i="5"/>
  <c r="H13" i="11"/>
  <c r="H12" i="11"/>
  <c r="L13" i="8"/>
  <c r="L12" i="8"/>
  <c r="P13" i="13"/>
  <c r="P12" i="13"/>
  <c r="T13" i="6"/>
  <c r="T12" i="6"/>
  <c r="F11" i="4"/>
  <c r="F12" i="4"/>
  <c r="F13" i="4"/>
  <c r="F12" i="6"/>
  <c r="F13" i="6"/>
  <c r="E17" i="7"/>
  <c r="G13" i="8"/>
  <c r="G12" i="8"/>
  <c r="O13" i="6"/>
  <c r="O12" i="6"/>
  <c r="R12" i="4"/>
  <c r="R14" i="4" s="1"/>
  <c r="I10" i="22"/>
  <c r="I9" i="22"/>
  <c r="I11" i="22" s="1"/>
  <c r="I10" i="23"/>
  <c r="I9" i="23"/>
  <c r="I10" i="19"/>
  <c r="I9" i="19"/>
  <c r="I11" i="19" s="1"/>
  <c r="I10" i="21"/>
  <c r="I10" i="15"/>
  <c r="I9" i="15"/>
  <c r="I10" i="13"/>
  <c r="I9" i="13"/>
  <c r="I10" i="11"/>
  <c r="I9" i="11"/>
  <c r="I9" i="21"/>
  <c r="I10" i="20"/>
  <c r="I9" i="20"/>
  <c r="I10" i="18"/>
  <c r="I9" i="18"/>
  <c r="I10" i="10"/>
  <c r="I9" i="10"/>
  <c r="I10" i="8"/>
  <c r="I9" i="8"/>
  <c r="I11" i="8" s="1"/>
  <c r="I10" i="12"/>
  <c r="I9" i="12"/>
  <c r="I10" i="9"/>
  <c r="I9" i="9"/>
  <c r="I11" i="9" s="1"/>
  <c r="I10" i="6"/>
  <c r="I9" i="6"/>
  <c r="I10" i="4"/>
  <c r="I9" i="4"/>
  <c r="I11" i="4" s="1"/>
  <c r="I10" i="14"/>
  <c r="I10" i="7"/>
  <c r="I9" i="7"/>
  <c r="I10" i="5"/>
  <c r="I9" i="5"/>
  <c r="I10" i="2"/>
  <c r="I9" i="2"/>
  <c r="I9" i="14"/>
  <c r="Q10" i="22"/>
  <c r="Q9" i="22"/>
  <c r="Q10" i="20"/>
  <c r="Q10" i="23"/>
  <c r="Q9" i="23"/>
  <c r="Q10" i="21"/>
  <c r="Q9" i="21"/>
  <c r="Q10" i="15"/>
  <c r="Q9" i="15"/>
  <c r="Q10" i="13"/>
  <c r="Q9" i="13"/>
  <c r="Q10" i="11"/>
  <c r="Q9" i="11"/>
  <c r="Q10" i="19"/>
  <c r="Q10" i="18"/>
  <c r="Q9" i="18"/>
  <c r="Q11" i="18" s="1"/>
  <c r="Q9" i="20"/>
  <c r="Q9" i="19"/>
  <c r="Q10" i="10"/>
  <c r="Q9" i="10"/>
  <c r="Q10" i="8"/>
  <c r="Q9" i="8"/>
  <c r="Q10" i="12"/>
  <c r="Q9" i="12"/>
  <c r="Q11" i="12" s="1"/>
  <c r="Q10" i="14"/>
  <c r="Q10" i="9"/>
  <c r="Q9" i="9"/>
  <c r="Q10" i="6"/>
  <c r="Q9" i="6"/>
  <c r="Q10" i="4"/>
  <c r="Q9" i="4"/>
  <c r="Q9" i="14"/>
  <c r="Q10" i="7"/>
  <c r="Q9" i="7"/>
  <c r="Q10" i="5"/>
  <c r="Q9" i="5"/>
  <c r="Q11" i="5" s="1"/>
  <c r="Q10" i="2"/>
  <c r="Q9" i="2"/>
  <c r="M10" i="22"/>
  <c r="M9" i="22"/>
  <c r="M10" i="20"/>
  <c r="M10" i="21"/>
  <c r="M9" i="21"/>
  <c r="M9" i="20"/>
  <c r="M10" i="19"/>
  <c r="M9" i="19"/>
  <c r="M10" i="15"/>
  <c r="M9" i="15"/>
  <c r="M10" i="13"/>
  <c r="M9" i="13"/>
  <c r="M10" i="11"/>
  <c r="M9" i="11"/>
  <c r="M10" i="23"/>
  <c r="M9" i="18"/>
  <c r="M10" i="10"/>
  <c r="M9" i="10"/>
  <c r="M10" i="8"/>
  <c r="M9" i="8"/>
  <c r="M9" i="23"/>
  <c r="M10" i="14"/>
  <c r="M9" i="14"/>
  <c r="M10" i="18"/>
  <c r="M10" i="12"/>
  <c r="M10" i="6"/>
  <c r="M9" i="6"/>
  <c r="M10" i="4"/>
  <c r="M9" i="4"/>
  <c r="M9" i="12"/>
  <c r="M10" i="9"/>
  <c r="M9" i="9"/>
  <c r="M10" i="7"/>
  <c r="M9" i="7"/>
  <c r="M10" i="5"/>
  <c r="M9" i="5"/>
  <c r="M10" i="2"/>
  <c r="M9" i="2"/>
  <c r="U10" i="22"/>
  <c r="U9" i="22"/>
  <c r="U10" i="20"/>
  <c r="U10" i="21"/>
  <c r="U9" i="20"/>
  <c r="U10" i="23"/>
  <c r="U9" i="23"/>
  <c r="U10" i="15"/>
  <c r="U9" i="15"/>
  <c r="U10" i="13"/>
  <c r="U9" i="13"/>
  <c r="U10" i="11"/>
  <c r="U9" i="11"/>
  <c r="U11" i="11" s="1"/>
  <c r="U10" i="19"/>
  <c r="U9" i="21"/>
  <c r="U9" i="19"/>
  <c r="U10" i="10"/>
  <c r="U9" i="10"/>
  <c r="U10" i="8"/>
  <c r="U9" i="8"/>
  <c r="U10" i="18"/>
  <c r="U10" i="14"/>
  <c r="U9" i="14"/>
  <c r="U9" i="18"/>
  <c r="U10" i="6"/>
  <c r="U9" i="6"/>
  <c r="U10" i="4"/>
  <c r="U9" i="4"/>
  <c r="U9" i="12"/>
  <c r="U10" i="9"/>
  <c r="U9" i="9"/>
  <c r="U10" i="7"/>
  <c r="U9" i="7"/>
  <c r="U10" i="5"/>
  <c r="U9" i="5"/>
  <c r="U10" i="2"/>
  <c r="U9" i="2"/>
  <c r="U10" i="12"/>
  <c r="T12" i="5"/>
  <c r="T14" i="5" s="1"/>
  <c r="E17" i="6"/>
  <c r="J12" i="6"/>
  <c r="J14" i="6" s="1"/>
  <c r="N12" i="6"/>
  <c r="T9" i="7"/>
  <c r="T9" i="8"/>
  <c r="T16" i="8" s="1"/>
  <c r="T17" i="8" s="1"/>
  <c r="T9" i="9"/>
  <c r="S10" i="11"/>
  <c r="S11" i="11" s="1"/>
  <c r="O14" i="26"/>
  <c r="O16" i="26"/>
  <c r="O17" i="26" s="1"/>
  <c r="F10" i="23"/>
  <c r="F9" i="23"/>
  <c r="F10" i="21"/>
  <c r="F9" i="21"/>
  <c r="F11" i="21" s="1"/>
  <c r="F10" i="20"/>
  <c r="F9" i="20"/>
  <c r="F10" i="22"/>
  <c r="F9" i="22"/>
  <c r="F11" i="22" s="1"/>
  <c r="F10" i="15"/>
  <c r="F9" i="15"/>
  <c r="F10" i="13"/>
  <c r="F9" i="13"/>
  <c r="F11" i="13" s="1"/>
  <c r="F10" i="19"/>
  <c r="F10" i="18"/>
  <c r="F9" i="18"/>
  <c r="F10" i="14"/>
  <c r="F9" i="14"/>
  <c r="F9" i="19"/>
  <c r="F10" i="11"/>
  <c r="F9" i="11"/>
  <c r="F10" i="9"/>
  <c r="F9" i="9"/>
  <c r="F10" i="12"/>
  <c r="F9" i="12"/>
  <c r="F11" i="12" s="1"/>
  <c r="J10" i="23"/>
  <c r="J9" i="23"/>
  <c r="J10" i="22"/>
  <c r="J9" i="22"/>
  <c r="J11" i="22" s="1"/>
  <c r="J10" i="20"/>
  <c r="J9" i="20"/>
  <c r="J10" i="21"/>
  <c r="J10" i="15"/>
  <c r="J9" i="15"/>
  <c r="J10" i="13"/>
  <c r="J9" i="13"/>
  <c r="J10" i="19"/>
  <c r="J10" i="18"/>
  <c r="J9" i="18"/>
  <c r="J9" i="19"/>
  <c r="J9" i="21"/>
  <c r="J10" i="12"/>
  <c r="J9" i="12"/>
  <c r="J10" i="9"/>
  <c r="J9" i="9"/>
  <c r="J11" i="9" s="1"/>
  <c r="J10" i="14"/>
  <c r="J9" i="14"/>
  <c r="J10" i="11"/>
  <c r="J9" i="11"/>
  <c r="N10" i="23"/>
  <c r="N9" i="23"/>
  <c r="N9" i="20"/>
  <c r="N10" i="20"/>
  <c r="N10" i="19"/>
  <c r="N9" i="19"/>
  <c r="N10" i="15"/>
  <c r="N9" i="15"/>
  <c r="N11" i="15" s="1"/>
  <c r="N10" i="13"/>
  <c r="N9" i="13"/>
  <c r="N9" i="21"/>
  <c r="N10" i="21"/>
  <c r="N10" i="22"/>
  <c r="N10" i="18"/>
  <c r="N9" i="18"/>
  <c r="N10" i="14"/>
  <c r="N9" i="14"/>
  <c r="N9" i="22"/>
  <c r="N10" i="9"/>
  <c r="N9" i="9"/>
  <c r="N11" i="9" s="1"/>
  <c r="N10" i="12"/>
  <c r="N9" i="12"/>
  <c r="R10" i="23"/>
  <c r="R9" i="23"/>
  <c r="R11" i="23" s="1"/>
  <c r="R10" i="22"/>
  <c r="R9" i="22"/>
  <c r="R10" i="21"/>
  <c r="R9" i="21"/>
  <c r="R11" i="21" s="1"/>
  <c r="R9" i="20"/>
  <c r="R10" i="15"/>
  <c r="R9" i="15"/>
  <c r="R10" i="13"/>
  <c r="R9" i="13"/>
  <c r="R10" i="19"/>
  <c r="R9" i="19"/>
  <c r="R10" i="18"/>
  <c r="R9" i="18"/>
  <c r="R10" i="12"/>
  <c r="R9" i="12"/>
  <c r="R10" i="11"/>
  <c r="R9" i="11"/>
  <c r="R10" i="9"/>
  <c r="R9" i="9"/>
  <c r="R10" i="20"/>
  <c r="R10" i="14"/>
  <c r="R9" i="14"/>
  <c r="G9" i="4"/>
  <c r="K9" i="4"/>
  <c r="O9" i="4"/>
  <c r="S9" i="4"/>
  <c r="G10" i="4"/>
  <c r="K10" i="4"/>
  <c r="O10" i="4"/>
  <c r="S10" i="4"/>
  <c r="G9" i="6"/>
  <c r="K9" i="6"/>
  <c r="O9" i="6"/>
  <c r="O11" i="6" s="1"/>
  <c r="S9" i="6"/>
  <c r="G10" i="6"/>
  <c r="K10" i="6"/>
  <c r="S10" i="6"/>
  <c r="F9" i="8"/>
  <c r="K9" i="8"/>
  <c r="P9" i="8"/>
  <c r="F10" i="8"/>
  <c r="P10" i="8"/>
  <c r="R9" i="10"/>
  <c r="R10" i="10"/>
  <c r="E17" i="12"/>
  <c r="H10" i="13"/>
  <c r="E17" i="14"/>
  <c r="P10" i="21"/>
  <c r="S10" i="23"/>
  <c r="S9" i="23"/>
  <c r="S10" i="21"/>
  <c r="S9" i="21"/>
  <c r="S11" i="21" s="1"/>
  <c r="S9" i="20"/>
  <c r="S10" i="19"/>
  <c r="S9" i="19"/>
  <c r="S10" i="22"/>
  <c r="S9" i="22"/>
  <c r="S10" i="18"/>
  <c r="S9" i="18"/>
  <c r="S10" i="14"/>
  <c r="S9" i="14"/>
  <c r="S10" i="12"/>
  <c r="S9" i="12"/>
  <c r="S10" i="20"/>
  <c r="S10" i="15"/>
  <c r="S9" i="15"/>
  <c r="S10" i="9"/>
  <c r="S9" i="9"/>
  <c r="S10" i="13"/>
  <c r="S9" i="13"/>
  <c r="S10" i="10"/>
  <c r="S9" i="10"/>
  <c r="F9" i="2"/>
  <c r="J9" i="2"/>
  <c r="N9" i="2"/>
  <c r="R9" i="2"/>
  <c r="F10" i="2"/>
  <c r="J10" i="2"/>
  <c r="N10" i="2"/>
  <c r="R10" i="2"/>
  <c r="H9" i="4"/>
  <c r="L9" i="4"/>
  <c r="P9" i="4"/>
  <c r="T9" i="4"/>
  <c r="H10" i="4"/>
  <c r="L10" i="4"/>
  <c r="P10" i="4"/>
  <c r="T10" i="4"/>
  <c r="F9" i="5"/>
  <c r="J9" i="5"/>
  <c r="N9" i="5"/>
  <c r="R9" i="5"/>
  <c r="F10" i="5"/>
  <c r="J10" i="5"/>
  <c r="N10" i="5"/>
  <c r="R10" i="5"/>
  <c r="H9" i="6"/>
  <c r="L9" i="6"/>
  <c r="P9" i="6"/>
  <c r="T9" i="6"/>
  <c r="T11" i="6" s="1"/>
  <c r="H10" i="6"/>
  <c r="L10" i="6"/>
  <c r="P10" i="6"/>
  <c r="F9" i="7"/>
  <c r="J9" i="7"/>
  <c r="N9" i="7"/>
  <c r="R9" i="7"/>
  <c r="F10" i="7"/>
  <c r="J10" i="7"/>
  <c r="N10" i="7"/>
  <c r="R10" i="7"/>
  <c r="E17" i="8"/>
  <c r="G9" i="8"/>
  <c r="G11" i="8" s="1"/>
  <c r="L9" i="8"/>
  <c r="L11" i="8" s="1"/>
  <c r="R9" i="8"/>
  <c r="R10" i="8"/>
  <c r="H9" i="9"/>
  <c r="P9" i="9"/>
  <c r="H10" i="9"/>
  <c r="P10" i="9"/>
  <c r="F9" i="10"/>
  <c r="F10" i="10"/>
  <c r="L12" i="7"/>
  <c r="L14" i="7" s="1"/>
  <c r="G10" i="23"/>
  <c r="G9" i="23"/>
  <c r="G10" i="21"/>
  <c r="G9" i="21"/>
  <c r="G10" i="20"/>
  <c r="G9" i="20"/>
  <c r="G10" i="22"/>
  <c r="G9" i="22"/>
  <c r="G10" i="19"/>
  <c r="G9" i="19"/>
  <c r="G10" i="18"/>
  <c r="G9" i="18"/>
  <c r="G10" i="14"/>
  <c r="G9" i="14"/>
  <c r="G10" i="12"/>
  <c r="G9" i="12"/>
  <c r="G10" i="15"/>
  <c r="G9" i="15"/>
  <c r="G10" i="13"/>
  <c r="G9" i="13"/>
  <c r="G10" i="11"/>
  <c r="G9" i="11"/>
  <c r="G10" i="9"/>
  <c r="G9" i="9"/>
  <c r="G10" i="10"/>
  <c r="G9" i="10"/>
  <c r="K10" i="23"/>
  <c r="K9" i="23"/>
  <c r="K10" i="21"/>
  <c r="K9" i="21"/>
  <c r="K10" i="20"/>
  <c r="K9" i="20"/>
  <c r="K10" i="18"/>
  <c r="K9" i="18"/>
  <c r="K10" i="14"/>
  <c r="K9" i="14"/>
  <c r="K10" i="12"/>
  <c r="K9" i="12"/>
  <c r="K9" i="22"/>
  <c r="K9" i="19"/>
  <c r="K10" i="22"/>
  <c r="K10" i="15"/>
  <c r="K9" i="15"/>
  <c r="K10" i="9"/>
  <c r="K9" i="9"/>
  <c r="K10" i="11"/>
  <c r="K9" i="11"/>
  <c r="K10" i="13"/>
  <c r="K9" i="13"/>
  <c r="K10" i="10"/>
  <c r="K9" i="10"/>
  <c r="O10" i="23"/>
  <c r="O9" i="23"/>
  <c r="O10" i="21"/>
  <c r="O9" i="21"/>
  <c r="O9" i="20"/>
  <c r="O10" i="22"/>
  <c r="O9" i="22"/>
  <c r="O10" i="20"/>
  <c r="O10" i="18"/>
  <c r="O9" i="18"/>
  <c r="O10" i="14"/>
  <c r="O9" i="14"/>
  <c r="O10" i="12"/>
  <c r="O9" i="12"/>
  <c r="O9" i="19"/>
  <c r="O10" i="15"/>
  <c r="O9" i="15"/>
  <c r="O10" i="19"/>
  <c r="O10" i="13"/>
  <c r="O9" i="13"/>
  <c r="O10" i="9"/>
  <c r="O9" i="9"/>
  <c r="O10" i="11"/>
  <c r="O9" i="11"/>
  <c r="O10" i="10"/>
  <c r="O9" i="10"/>
  <c r="H10" i="22"/>
  <c r="H9" i="22"/>
  <c r="H10" i="21"/>
  <c r="H9" i="21"/>
  <c r="H10" i="19"/>
  <c r="H9" i="19"/>
  <c r="H10" i="23"/>
  <c r="H9" i="23"/>
  <c r="H10" i="18"/>
  <c r="H9" i="18"/>
  <c r="H10" i="14"/>
  <c r="H9" i="14"/>
  <c r="H10" i="12"/>
  <c r="H9" i="12"/>
  <c r="H10" i="20"/>
  <c r="H9" i="20"/>
  <c r="H10" i="15"/>
  <c r="H10" i="10"/>
  <c r="H9" i="10"/>
  <c r="L10" i="22"/>
  <c r="L9" i="22"/>
  <c r="L10" i="23"/>
  <c r="L9" i="23"/>
  <c r="L10" i="21"/>
  <c r="L9" i="21"/>
  <c r="L10" i="19"/>
  <c r="L9" i="19"/>
  <c r="L10" i="18"/>
  <c r="L9" i="18"/>
  <c r="L10" i="14"/>
  <c r="L9" i="14"/>
  <c r="L10" i="12"/>
  <c r="L9" i="12"/>
  <c r="L10" i="20"/>
  <c r="L9" i="20"/>
  <c r="L10" i="15"/>
  <c r="L9" i="15"/>
  <c r="L10" i="11"/>
  <c r="L9" i="11"/>
  <c r="L10" i="13"/>
  <c r="L9" i="13"/>
  <c r="L10" i="10"/>
  <c r="L9" i="10"/>
  <c r="P10" i="22"/>
  <c r="P9" i="22"/>
  <c r="P10" i="20"/>
  <c r="P10" i="19"/>
  <c r="P9" i="19"/>
  <c r="P9" i="21"/>
  <c r="P10" i="18"/>
  <c r="P9" i="18"/>
  <c r="P10" i="14"/>
  <c r="P9" i="14"/>
  <c r="P10" i="12"/>
  <c r="P9" i="12"/>
  <c r="P10" i="23"/>
  <c r="P9" i="23"/>
  <c r="P10" i="15"/>
  <c r="P10" i="11"/>
  <c r="P9" i="11"/>
  <c r="P10" i="10"/>
  <c r="P9" i="10"/>
  <c r="P9" i="15"/>
  <c r="T10" i="22"/>
  <c r="T9" i="22"/>
  <c r="T10" i="23"/>
  <c r="T9" i="23"/>
  <c r="T10" i="20"/>
  <c r="T10" i="19"/>
  <c r="T9" i="19"/>
  <c r="T10" i="18"/>
  <c r="T9" i="18"/>
  <c r="T10" i="14"/>
  <c r="T9" i="14"/>
  <c r="T10" i="12"/>
  <c r="T9" i="12"/>
  <c r="T10" i="21"/>
  <c r="T9" i="20"/>
  <c r="T10" i="15"/>
  <c r="T9" i="15"/>
  <c r="T9" i="21"/>
  <c r="T10" i="13"/>
  <c r="T9" i="13"/>
  <c r="T10" i="10"/>
  <c r="T9" i="10"/>
  <c r="T10" i="11"/>
  <c r="T9" i="11"/>
  <c r="G9" i="2"/>
  <c r="K9" i="2"/>
  <c r="O9" i="2"/>
  <c r="S9" i="2"/>
  <c r="G10" i="2"/>
  <c r="K10" i="2"/>
  <c r="O10" i="2"/>
  <c r="S10" i="2"/>
  <c r="G9" i="5"/>
  <c r="K9" i="5"/>
  <c r="O9" i="5"/>
  <c r="S9" i="5"/>
  <c r="G10" i="5"/>
  <c r="K10" i="5"/>
  <c r="O10" i="5"/>
  <c r="S10" i="5"/>
  <c r="G9" i="7"/>
  <c r="K9" i="7"/>
  <c r="O9" i="7"/>
  <c r="S9" i="7"/>
  <c r="G10" i="7"/>
  <c r="K10" i="7"/>
  <c r="O10" i="7"/>
  <c r="S10" i="7"/>
  <c r="H9" i="8"/>
  <c r="N9" i="8"/>
  <c r="S9" i="8"/>
  <c r="H10" i="8"/>
  <c r="N10" i="8"/>
  <c r="S10" i="8"/>
  <c r="E17" i="10"/>
  <c r="J9" i="10"/>
  <c r="J10" i="10"/>
  <c r="H9" i="11"/>
  <c r="H11" i="11" s="1"/>
  <c r="N10" i="11"/>
  <c r="H9" i="13"/>
  <c r="H9" i="15"/>
  <c r="K10" i="19"/>
  <c r="P9" i="20"/>
  <c r="P11" i="20" s="1"/>
  <c r="D17" i="12"/>
  <c r="E16" i="11"/>
  <c r="E17" i="11" s="1"/>
  <c r="D17" i="14"/>
  <c r="D17" i="18"/>
  <c r="E17" i="19"/>
  <c r="D17" i="20"/>
  <c r="E17" i="20"/>
  <c r="Q17" i="24"/>
  <c r="I16" i="28"/>
  <c r="I17" i="28" s="1"/>
  <c r="C6" i="30"/>
  <c r="A7" i="30"/>
  <c r="N17" i="24"/>
  <c r="C5" i="30"/>
  <c r="E17" i="22"/>
  <c r="I17" i="25"/>
  <c r="Q17" i="25"/>
  <c r="G17" i="26"/>
  <c r="M17" i="24"/>
  <c r="C7" i="29"/>
  <c r="D7" i="29" s="1"/>
  <c r="B16" i="25"/>
  <c r="B17" i="25" s="1"/>
  <c r="B19" i="25" s="1"/>
  <c r="E7" i="29" s="1"/>
  <c r="G17" i="25"/>
  <c r="K17" i="25"/>
  <c r="O17" i="25"/>
  <c r="M17" i="25"/>
  <c r="J17" i="26"/>
  <c r="B16" i="28"/>
  <c r="B17" i="28" s="1"/>
  <c r="C2" i="29"/>
  <c r="D2" i="29" s="1"/>
  <c r="C3" i="30"/>
  <c r="G17" i="24"/>
  <c r="K17" i="24"/>
  <c r="O17" i="24"/>
  <c r="H17" i="25"/>
  <c r="P17" i="25"/>
  <c r="N17" i="26"/>
  <c r="H17" i="27"/>
  <c r="L16" i="27"/>
  <c r="L17" i="27" s="1"/>
  <c r="P16" i="27"/>
  <c r="P17" i="27" s="1"/>
  <c r="O11" i="27"/>
  <c r="O16" i="27"/>
  <c r="O17" i="27" s="1"/>
  <c r="K16" i="27"/>
  <c r="K17" i="27" s="1"/>
  <c r="D17" i="28"/>
  <c r="E16" i="23"/>
  <c r="E17" i="23" s="1"/>
  <c r="H17" i="24"/>
  <c r="L17" i="24"/>
  <c r="P17" i="24"/>
  <c r="E17" i="26"/>
  <c r="B19" i="26" s="1"/>
  <c r="E4" i="29" s="1"/>
  <c r="K16" i="26"/>
  <c r="K17" i="26" s="1"/>
  <c r="G17" i="27"/>
  <c r="B16" i="27"/>
  <c r="B17" i="27" s="1"/>
  <c r="B19" i="27" s="1"/>
  <c r="E3" i="29" s="1"/>
  <c r="N17" i="27"/>
  <c r="E17" i="28"/>
  <c r="I16" i="26"/>
  <c r="I17" i="26" s="1"/>
  <c r="M16" i="26"/>
  <c r="M17" i="26" s="1"/>
  <c r="Q16" i="26"/>
  <c r="Q17" i="26" s="1"/>
  <c r="K11" i="26"/>
  <c r="O11" i="26"/>
  <c r="I14" i="26"/>
  <c r="M14" i="26"/>
  <c r="Q14" i="26"/>
  <c r="I17" i="27"/>
  <c r="M17" i="27"/>
  <c r="Q17" i="27"/>
  <c r="J17" i="28"/>
  <c r="N17" i="28"/>
  <c r="C4" i="29"/>
  <c r="D4" i="29" s="1"/>
  <c r="C6" i="29"/>
  <c r="D6" i="29" s="1"/>
  <c r="F16" i="25"/>
  <c r="F17" i="25" s="1"/>
  <c r="J16" i="25"/>
  <c r="J17" i="25" s="1"/>
  <c r="N16" i="25"/>
  <c r="N17" i="25" s="1"/>
  <c r="D17" i="27"/>
  <c r="K17" i="28"/>
  <c r="O17" i="28"/>
  <c r="N13" i="10" l="1"/>
  <c r="N14" i="10" s="1"/>
  <c r="H12" i="2"/>
  <c r="J12" i="4"/>
  <c r="J14" i="4" s="1"/>
  <c r="N11" i="10"/>
  <c r="K11" i="4"/>
  <c r="T11" i="7"/>
  <c r="U11" i="2"/>
  <c r="U11" i="7"/>
  <c r="U11" i="15"/>
  <c r="U11" i="20"/>
  <c r="M11" i="6"/>
  <c r="M11" i="14"/>
  <c r="L11" i="2"/>
  <c r="H11" i="13"/>
  <c r="T12" i="7"/>
  <c r="T14" i="7" s="1"/>
  <c r="H12" i="7"/>
  <c r="H14" i="7" s="1"/>
  <c r="N11" i="8"/>
  <c r="T11" i="10"/>
  <c r="T11" i="22"/>
  <c r="P11" i="23"/>
  <c r="P11" i="14"/>
  <c r="P11" i="22"/>
  <c r="L11" i="12"/>
  <c r="L11" i="22"/>
  <c r="K11" i="12"/>
  <c r="K11" i="21"/>
  <c r="G11" i="10"/>
  <c r="G11" i="15"/>
  <c r="G11" i="14"/>
  <c r="G11" i="20"/>
  <c r="F11" i="18"/>
  <c r="J13" i="8"/>
  <c r="J14" i="8" s="1"/>
  <c r="U11" i="4"/>
  <c r="U11" i="8"/>
  <c r="M11" i="2"/>
  <c r="M11" i="7"/>
  <c r="M11" i="12"/>
  <c r="M11" i="11"/>
  <c r="M11" i="15"/>
  <c r="T13" i="2"/>
  <c r="T14" i="2" s="1"/>
  <c r="L11" i="7"/>
  <c r="T11" i="2"/>
  <c r="H12" i="5"/>
  <c r="H14" i="5" s="1"/>
  <c r="H11" i="7"/>
  <c r="P12" i="7"/>
  <c r="P14" i="7" s="1"/>
  <c r="H11" i="5"/>
  <c r="O12" i="8"/>
  <c r="O14" i="8" s="1"/>
  <c r="Q11" i="6"/>
  <c r="Q11" i="20"/>
  <c r="Q11" i="11"/>
  <c r="Q11" i="15"/>
  <c r="Q11" i="23"/>
  <c r="I11" i="5"/>
  <c r="I11" i="13"/>
  <c r="O14" i="6"/>
  <c r="L12" i="5"/>
  <c r="L14" i="5" s="1"/>
  <c r="P11" i="7"/>
  <c r="L11" i="5"/>
  <c r="H11" i="2"/>
  <c r="J11" i="6"/>
  <c r="T11" i="21"/>
  <c r="R11" i="8"/>
  <c r="K11" i="6"/>
  <c r="L12" i="9"/>
  <c r="L14" i="9" s="1"/>
  <c r="U11" i="12"/>
  <c r="P12" i="5"/>
  <c r="P14" i="5" s="1"/>
  <c r="P12" i="2"/>
  <c r="P16" i="2" s="1"/>
  <c r="P17" i="2" s="1"/>
  <c r="P11" i="5"/>
  <c r="L11" i="9"/>
  <c r="L16" i="2"/>
  <c r="L17" i="2" s="1"/>
  <c r="T11" i="11"/>
  <c r="T12" i="9"/>
  <c r="T14" i="9" s="1"/>
  <c r="P11" i="9"/>
  <c r="R11" i="10"/>
  <c r="R11" i="9"/>
  <c r="R11" i="12"/>
  <c r="R11" i="19"/>
  <c r="R11" i="15"/>
  <c r="N11" i="18"/>
  <c r="J11" i="13"/>
  <c r="T11" i="9"/>
  <c r="T11" i="8"/>
  <c r="N12" i="4"/>
  <c r="N14" i="4" s="1"/>
  <c r="M11" i="22"/>
  <c r="L13" i="2"/>
  <c r="L14" i="2" s="1"/>
  <c r="J16" i="6"/>
  <c r="J17" i="6" s="1"/>
  <c r="R11" i="6"/>
  <c r="N11" i="4"/>
  <c r="N11" i="6"/>
  <c r="J11" i="4"/>
  <c r="P11" i="2"/>
  <c r="O16" i="6"/>
  <c r="O17" i="6" s="1"/>
  <c r="K11" i="22"/>
  <c r="J11" i="7"/>
  <c r="H11" i="6"/>
  <c r="H11" i="4"/>
  <c r="S11" i="14"/>
  <c r="S11" i="22"/>
  <c r="P16" i="13"/>
  <c r="P17" i="13" s="1"/>
  <c r="T13" i="8"/>
  <c r="T14" i="8" s="1"/>
  <c r="R12" i="6"/>
  <c r="T16" i="2"/>
  <c r="T17" i="2" s="1"/>
  <c r="T11" i="5"/>
  <c r="J11" i="8"/>
  <c r="J13" i="10"/>
  <c r="J12" i="10"/>
  <c r="S13" i="8"/>
  <c r="S12" i="8"/>
  <c r="K11" i="7"/>
  <c r="K11" i="2"/>
  <c r="T12" i="21"/>
  <c r="T13" i="21"/>
  <c r="T13" i="19"/>
  <c r="T12" i="19"/>
  <c r="P11" i="21"/>
  <c r="L11" i="13"/>
  <c r="L11" i="18"/>
  <c r="H12" i="15"/>
  <c r="H13" i="15"/>
  <c r="H13" i="18"/>
  <c r="H12" i="18"/>
  <c r="O13" i="11"/>
  <c r="O12" i="11"/>
  <c r="O16" i="11" s="1"/>
  <c r="O17" i="11" s="1"/>
  <c r="O13" i="14"/>
  <c r="O12" i="14"/>
  <c r="K13" i="10"/>
  <c r="K12" i="10"/>
  <c r="K13" i="11"/>
  <c r="K12" i="11"/>
  <c r="K11" i="18"/>
  <c r="J13" i="7"/>
  <c r="J12" i="7"/>
  <c r="H13" i="6"/>
  <c r="H12" i="6"/>
  <c r="D6" i="30"/>
  <c r="F13" i="5"/>
  <c r="F12" i="5"/>
  <c r="F16" i="5" s="1"/>
  <c r="F17" i="5" s="1"/>
  <c r="D5" i="30"/>
  <c r="C5" i="16"/>
  <c r="D5" i="16" s="1"/>
  <c r="F13" i="2"/>
  <c r="F12" i="2"/>
  <c r="S13" i="13"/>
  <c r="S12" i="13"/>
  <c r="S11" i="20"/>
  <c r="S12" i="23"/>
  <c r="S13" i="23"/>
  <c r="P11" i="8"/>
  <c r="K13" i="6"/>
  <c r="K12" i="6"/>
  <c r="R13" i="18"/>
  <c r="R12" i="18"/>
  <c r="N13" i="14"/>
  <c r="N12" i="14"/>
  <c r="H16" i="6"/>
  <c r="H17" i="6" s="1"/>
  <c r="U13" i="6"/>
  <c r="U12" i="6"/>
  <c r="U12" i="18"/>
  <c r="U13" i="18"/>
  <c r="U13" i="22"/>
  <c r="U12" i="22"/>
  <c r="M13" i="23"/>
  <c r="M12" i="23"/>
  <c r="M13" i="20"/>
  <c r="M12" i="20"/>
  <c r="Q13" i="8"/>
  <c r="Q12" i="8"/>
  <c r="Q13" i="22"/>
  <c r="Q12" i="22"/>
  <c r="I13" i="14"/>
  <c r="I12" i="14"/>
  <c r="I14" i="14" s="1"/>
  <c r="I13" i="10"/>
  <c r="I12" i="10"/>
  <c r="I12" i="21"/>
  <c r="I13" i="21"/>
  <c r="D3" i="30"/>
  <c r="J11" i="10"/>
  <c r="N13" i="8"/>
  <c r="N12" i="8"/>
  <c r="N16" i="8" s="1"/>
  <c r="N17" i="8" s="1"/>
  <c r="H11" i="8"/>
  <c r="G13" i="7"/>
  <c r="G12" i="7"/>
  <c r="G16" i="7" s="1"/>
  <c r="G17" i="7" s="1"/>
  <c r="G11" i="7"/>
  <c r="G13" i="5"/>
  <c r="G12" i="5"/>
  <c r="G11" i="5"/>
  <c r="G13" i="2"/>
  <c r="G12" i="2"/>
  <c r="G16" i="2" s="1"/>
  <c r="G17" i="2" s="1"/>
  <c r="G11" i="2"/>
  <c r="T13" i="10"/>
  <c r="T12" i="10"/>
  <c r="T11" i="15"/>
  <c r="T11" i="12"/>
  <c r="T11" i="18"/>
  <c r="T13" i="20"/>
  <c r="T12" i="20"/>
  <c r="T14" i="20" s="1"/>
  <c r="T13" i="22"/>
  <c r="T12" i="22"/>
  <c r="T16" i="22" s="1"/>
  <c r="T17" i="22" s="1"/>
  <c r="P11" i="11"/>
  <c r="P12" i="23"/>
  <c r="P16" i="23" s="1"/>
  <c r="P17" i="23" s="1"/>
  <c r="P13" i="23"/>
  <c r="P13" i="14"/>
  <c r="P12" i="14"/>
  <c r="P16" i="14" s="1"/>
  <c r="P17" i="14" s="1"/>
  <c r="P11" i="19"/>
  <c r="P13" i="22"/>
  <c r="P12" i="22"/>
  <c r="P16" i="22" s="1"/>
  <c r="P17" i="22" s="1"/>
  <c r="L13" i="13"/>
  <c r="L12" i="13"/>
  <c r="L14" i="13" s="1"/>
  <c r="L13" i="15"/>
  <c r="L12" i="15"/>
  <c r="L16" i="15" s="1"/>
  <c r="L17" i="15" s="1"/>
  <c r="L13" i="12"/>
  <c r="L12" i="12"/>
  <c r="L14" i="12" s="1"/>
  <c r="L13" i="18"/>
  <c r="L12" i="18"/>
  <c r="L16" i="18" s="1"/>
  <c r="L17" i="18" s="1"/>
  <c r="L13" i="21"/>
  <c r="L12" i="21"/>
  <c r="L14" i="21" s="1"/>
  <c r="L13" i="22"/>
  <c r="L12" i="22"/>
  <c r="H11" i="20"/>
  <c r="H11" i="14"/>
  <c r="H11" i="23"/>
  <c r="H11" i="21"/>
  <c r="O11" i="10"/>
  <c r="O11" i="9"/>
  <c r="O13" i="19"/>
  <c r="O12" i="19"/>
  <c r="O16" i="19" s="1"/>
  <c r="O17" i="19" s="1"/>
  <c r="O11" i="12"/>
  <c r="O11" i="18"/>
  <c r="O13" i="22"/>
  <c r="O12" i="22"/>
  <c r="O14" i="22" s="1"/>
  <c r="O11" i="23"/>
  <c r="K11" i="13"/>
  <c r="K11" i="9"/>
  <c r="K13" i="22"/>
  <c r="K12" i="22"/>
  <c r="K13" i="12"/>
  <c r="K12" i="12"/>
  <c r="K12" i="18"/>
  <c r="K13" i="18"/>
  <c r="K13" i="21"/>
  <c r="K12" i="21"/>
  <c r="G13" i="10"/>
  <c r="G12" i="10"/>
  <c r="G13" i="11"/>
  <c r="G12" i="11"/>
  <c r="G13" i="15"/>
  <c r="G12" i="15"/>
  <c r="G16" i="15" s="1"/>
  <c r="G17" i="15" s="1"/>
  <c r="G13" i="14"/>
  <c r="G12" i="14"/>
  <c r="G16" i="14" s="1"/>
  <c r="G17" i="14" s="1"/>
  <c r="G13" i="19"/>
  <c r="G12" i="19"/>
  <c r="G16" i="19" s="1"/>
  <c r="G17" i="19" s="1"/>
  <c r="G13" i="20"/>
  <c r="G12" i="20"/>
  <c r="G13" i="23"/>
  <c r="G12" i="23"/>
  <c r="H11" i="9"/>
  <c r="R13" i="8"/>
  <c r="R12" i="8"/>
  <c r="R16" i="8" s="1"/>
  <c r="R17" i="8" s="1"/>
  <c r="D7" i="30"/>
  <c r="F13" i="7"/>
  <c r="F12" i="7"/>
  <c r="E7" i="30"/>
  <c r="F11" i="7"/>
  <c r="R13" i="5"/>
  <c r="R12" i="5"/>
  <c r="R16" i="5" s="1"/>
  <c r="R17" i="5" s="1"/>
  <c r="R11" i="5"/>
  <c r="T13" i="4"/>
  <c r="T12" i="4"/>
  <c r="T11" i="4"/>
  <c r="R13" i="2"/>
  <c r="R12" i="2"/>
  <c r="R16" i="2" s="1"/>
  <c r="R17" i="2" s="1"/>
  <c r="R11" i="2"/>
  <c r="S11" i="10"/>
  <c r="S11" i="9"/>
  <c r="S13" i="20"/>
  <c r="S12" i="20"/>
  <c r="S14" i="20" s="1"/>
  <c r="S13" i="14"/>
  <c r="S12" i="14"/>
  <c r="S16" i="14" s="1"/>
  <c r="S17" i="14" s="1"/>
  <c r="S13" i="22"/>
  <c r="S12" i="22"/>
  <c r="S14" i="22" s="1"/>
  <c r="P13" i="21"/>
  <c r="P12" i="21"/>
  <c r="P16" i="21" s="1"/>
  <c r="P17" i="21" s="1"/>
  <c r="H16" i="11"/>
  <c r="H17" i="11" s="1"/>
  <c r="K16" i="8"/>
  <c r="K17" i="8" s="1"/>
  <c r="K11" i="8"/>
  <c r="G13" i="6"/>
  <c r="G12" i="6"/>
  <c r="G11" i="6"/>
  <c r="G13" i="4"/>
  <c r="G12" i="4"/>
  <c r="G14" i="4" s="1"/>
  <c r="G11" i="4"/>
  <c r="R13" i="21"/>
  <c r="R12" i="21"/>
  <c r="R13" i="23"/>
  <c r="R12" i="23"/>
  <c r="N13" i="9"/>
  <c r="N12" i="9"/>
  <c r="N16" i="9" s="1"/>
  <c r="N17" i="9" s="1"/>
  <c r="N11" i="21"/>
  <c r="N13" i="15"/>
  <c r="N12" i="15"/>
  <c r="N16" i="15" s="1"/>
  <c r="N17" i="15" s="1"/>
  <c r="N11" i="20"/>
  <c r="J13" i="11"/>
  <c r="J12" i="11"/>
  <c r="J16" i="11" s="1"/>
  <c r="J17" i="11" s="1"/>
  <c r="J13" i="9"/>
  <c r="J12" i="9"/>
  <c r="J11" i="19"/>
  <c r="J12" i="21"/>
  <c r="J16" i="21" s="1"/>
  <c r="J17" i="21" s="1"/>
  <c r="J13" i="21"/>
  <c r="J13" i="22"/>
  <c r="J12" i="22"/>
  <c r="J16" i="22" s="1"/>
  <c r="J17" i="22" s="1"/>
  <c r="C3" i="16"/>
  <c r="F13" i="12"/>
  <c r="F12" i="12"/>
  <c r="F14" i="12" s="1"/>
  <c r="F13" i="11"/>
  <c r="F12" i="11"/>
  <c r="F16" i="11" s="1"/>
  <c r="F17" i="11" s="1"/>
  <c r="C6" i="16"/>
  <c r="C7" i="16"/>
  <c r="F13" i="13"/>
  <c r="F12" i="13"/>
  <c r="F13" i="22"/>
  <c r="F12" i="22"/>
  <c r="F14" i="22" s="1"/>
  <c r="F13" i="21"/>
  <c r="F12" i="21"/>
  <c r="F16" i="21" s="1"/>
  <c r="F17" i="21" s="1"/>
  <c r="S12" i="11"/>
  <c r="S13" i="11"/>
  <c r="T16" i="6"/>
  <c r="T17" i="6" s="1"/>
  <c r="P16" i="7"/>
  <c r="P17" i="7" s="1"/>
  <c r="U13" i="2"/>
  <c r="U12" i="2"/>
  <c r="U13" i="7"/>
  <c r="U12" i="7"/>
  <c r="U16" i="7" s="1"/>
  <c r="U17" i="7" s="1"/>
  <c r="U11" i="18"/>
  <c r="U11" i="19"/>
  <c r="U13" i="11"/>
  <c r="U12" i="11"/>
  <c r="U16" i="11" s="1"/>
  <c r="U17" i="11" s="1"/>
  <c r="U13" i="15"/>
  <c r="U12" i="15"/>
  <c r="U12" i="21"/>
  <c r="U13" i="21"/>
  <c r="M13" i="6"/>
  <c r="M12" i="6"/>
  <c r="M13" i="14"/>
  <c r="M12" i="14"/>
  <c r="M16" i="14" s="1"/>
  <c r="M17" i="14" s="1"/>
  <c r="M11" i="10"/>
  <c r="M11" i="20"/>
  <c r="Q11" i="14"/>
  <c r="Q13" i="6"/>
  <c r="Q12" i="6"/>
  <c r="Q11" i="10"/>
  <c r="Q13" i="11"/>
  <c r="Q12" i="11"/>
  <c r="Q16" i="11" s="1"/>
  <c r="Q17" i="11" s="1"/>
  <c r="Q13" i="15"/>
  <c r="Q12" i="15"/>
  <c r="Q13" i="23"/>
  <c r="Q12" i="23"/>
  <c r="I11" i="14"/>
  <c r="I13" i="5"/>
  <c r="I12" i="5"/>
  <c r="I16" i="5" s="1"/>
  <c r="I17" i="5" s="1"/>
  <c r="I11" i="18"/>
  <c r="I11" i="21"/>
  <c r="I13" i="13"/>
  <c r="I12" i="13"/>
  <c r="I16" i="13" s="1"/>
  <c r="I17" i="13" s="1"/>
  <c r="L16" i="8"/>
  <c r="L17" i="8" s="1"/>
  <c r="E3" i="30"/>
  <c r="F16" i="4"/>
  <c r="F17" i="4" s="1"/>
  <c r="F14" i="4"/>
  <c r="P14" i="13"/>
  <c r="H14" i="11"/>
  <c r="K14" i="8"/>
  <c r="T16" i="5"/>
  <c r="T17" i="5" s="1"/>
  <c r="A8" i="30"/>
  <c r="C8" i="30" s="1"/>
  <c r="C7" i="30"/>
  <c r="K13" i="7"/>
  <c r="K12" i="7"/>
  <c r="K11" i="5"/>
  <c r="T13" i="14"/>
  <c r="T12" i="14"/>
  <c r="P13" i="10"/>
  <c r="P12" i="10"/>
  <c r="H13" i="22"/>
  <c r="H12" i="22"/>
  <c r="O11" i="19"/>
  <c r="O13" i="21"/>
  <c r="O12" i="21"/>
  <c r="K13" i="15"/>
  <c r="K12" i="15"/>
  <c r="G11" i="11"/>
  <c r="G11" i="19"/>
  <c r="E5" i="30"/>
  <c r="F5" i="30" s="1"/>
  <c r="F11" i="2"/>
  <c r="R13" i="11"/>
  <c r="R12" i="11"/>
  <c r="N13" i="21"/>
  <c r="N12" i="21"/>
  <c r="N16" i="21" s="1"/>
  <c r="N17" i="21" s="1"/>
  <c r="N12" i="20"/>
  <c r="N13" i="20"/>
  <c r="J11" i="21"/>
  <c r="J13" i="15"/>
  <c r="J12" i="15"/>
  <c r="F11" i="11"/>
  <c r="N14" i="6"/>
  <c r="N16" i="6"/>
  <c r="N17" i="6" s="1"/>
  <c r="U13" i="10"/>
  <c r="U12" i="10"/>
  <c r="U16" i="10" s="1"/>
  <c r="U17" i="10" s="1"/>
  <c r="M13" i="13"/>
  <c r="M12" i="13"/>
  <c r="Q13" i="7"/>
  <c r="Q12" i="7"/>
  <c r="Q16" i="7" s="1"/>
  <c r="Q17" i="7" s="1"/>
  <c r="I13" i="6"/>
  <c r="I12" i="6"/>
  <c r="B19" i="28"/>
  <c r="E2" i="29" s="1"/>
  <c r="G16" i="20"/>
  <c r="G17" i="20" s="1"/>
  <c r="F16" i="13"/>
  <c r="F17" i="13" s="1"/>
  <c r="K13" i="19"/>
  <c r="K12" i="19"/>
  <c r="K14" i="19" s="1"/>
  <c r="G16" i="10"/>
  <c r="G17" i="10" s="1"/>
  <c r="H13" i="8"/>
  <c r="H12" i="8"/>
  <c r="S13" i="7"/>
  <c r="S12" i="7"/>
  <c r="S16" i="7" s="1"/>
  <c r="S17" i="7" s="1"/>
  <c r="S11" i="7"/>
  <c r="S13" i="5"/>
  <c r="S12" i="5"/>
  <c r="S11" i="5"/>
  <c r="S13" i="2"/>
  <c r="S12" i="2"/>
  <c r="S11" i="2"/>
  <c r="T11" i="13"/>
  <c r="T13" i="15"/>
  <c r="T12" i="15"/>
  <c r="T16" i="15" s="1"/>
  <c r="T17" i="15" s="1"/>
  <c r="T13" i="12"/>
  <c r="T12" i="12"/>
  <c r="T12" i="18"/>
  <c r="T13" i="18"/>
  <c r="T11" i="23"/>
  <c r="P11" i="15"/>
  <c r="P13" i="11"/>
  <c r="P12" i="11"/>
  <c r="P11" i="12"/>
  <c r="P11" i="18"/>
  <c r="P13" i="19"/>
  <c r="P12" i="19"/>
  <c r="L11" i="10"/>
  <c r="L11" i="11"/>
  <c r="L11" i="20"/>
  <c r="L11" i="14"/>
  <c r="L11" i="19"/>
  <c r="L11" i="23"/>
  <c r="H11" i="10"/>
  <c r="H13" i="20"/>
  <c r="H12" i="20"/>
  <c r="H16" i="20" s="1"/>
  <c r="H17" i="20" s="1"/>
  <c r="H13" i="14"/>
  <c r="H12" i="14"/>
  <c r="H13" i="23"/>
  <c r="H12" i="23"/>
  <c r="H13" i="21"/>
  <c r="H12" i="21"/>
  <c r="O13" i="10"/>
  <c r="O12" i="10"/>
  <c r="O13" i="9"/>
  <c r="O12" i="9"/>
  <c r="O11" i="15"/>
  <c r="O13" i="12"/>
  <c r="O12" i="12"/>
  <c r="O13" i="18"/>
  <c r="O12" i="18"/>
  <c r="O11" i="20"/>
  <c r="O13" i="23"/>
  <c r="O12" i="23"/>
  <c r="K13" i="13"/>
  <c r="K12" i="13"/>
  <c r="K16" i="13" s="1"/>
  <c r="K17" i="13" s="1"/>
  <c r="K13" i="9"/>
  <c r="K12" i="9"/>
  <c r="K11" i="19"/>
  <c r="K11" i="14"/>
  <c r="K11" i="20"/>
  <c r="K11" i="23"/>
  <c r="G11" i="9"/>
  <c r="G11" i="13"/>
  <c r="G11" i="12"/>
  <c r="G11" i="18"/>
  <c r="G11" i="22"/>
  <c r="G11" i="21"/>
  <c r="T16" i="10"/>
  <c r="T17" i="10" s="1"/>
  <c r="C4" i="16"/>
  <c r="F13" i="10"/>
  <c r="F12" i="10"/>
  <c r="F14" i="10" s="1"/>
  <c r="P13" i="9"/>
  <c r="P12" i="9"/>
  <c r="P16" i="9" s="1"/>
  <c r="P17" i="9" s="1"/>
  <c r="R13" i="7"/>
  <c r="R12" i="7"/>
  <c r="R14" i="7" s="1"/>
  <c r="R11" i="7"/>
  <c r="P13" i="6"/>
  <c r="P12" i="6"/>
  <c r="P16" i="6" s="1"/>
  <c r="P17" i="6" s="1"/>
  <c r="P11" i="6"/>
  <c r="N13" i="5"/>
  <c r="N12" i="5"/>
  <c r="N16" i="5" s="1"/>
  <c r="N17" i="5" s="1"/>
  <c r="N11" i="5"/>
  <c r="P13" i="4"/>
  <c r="P12" i="4"/>
  <c r="P16" i="4" s="1"/>
  <c r="P17" i="4" s="1"/>
  <c r="P11" i="4"/>
  <c r="N13" i="2"/>
  <c r="N12" i="2"/>
  <c r="N11" i="2"/>
  <c r="S13" i="10"/>
  <c r="S12" i="10"/>
  <c r="S13" i="9"/>
  <c r="S12" i="9"/>
  <c r="S11" i="12"/>
  <c r="S11" i="18"/>
  <c r="S11" i="19"/>
  <c r="S13" i="21"/>
  <c r="S12" i="21"/>
  <c r="R13" i="10"/>
  <c r="R12" i="10"/>
  <c r="P13" i="8"/>
  <c r="P12" i="8"/>
  <c r="E2" i="30"/>
  <c r="F2" i="30" s="1"/>
  <c r="F11" i="8"/>
  <c r="S11" i="6"/>
  <c r="S13" i="4"/>
  <c r="S12" i="4"/>
  <c r="S16" i="4" s="1"/>
  <c r="S17" i="4" s="1"/>
  <c r="S11" i="4"/>
  <c r="R11" i="14"/>
  <c r="R13" i="9"/>
  <c r="R12" i="9"/>
  <c r="R13" i="12"/>
  <c r="R12" i="12"/>
  <c r="R13" i="19"/>
  <c r="R12" i="19"/>
  <c r="R13" i="15"/>
  <c r="R12" i="15"/>
  <c r="R11" i="22"/>
  <c r="N11" i="12"/>
  <c r="N11" i="22"/>
  <c r="N13" i="18"/>
  <c r="N12" i="18"/>
  <c r="N11" i="13"/>
  <c r="N11" i="19"/>
  <c r="N11" i="23"/>
  <c r="J11" i="14"/>
  <c r="J11" i="12"/>
  <c r="J11" i="18"/>
  <c r="J13" i="13"/>
  <c r="J12" i="13"/>
  <c r="J11" i="20"/>
  <c r="J11" i="23"/>
  <c r="E8" i="30"/>
  <c r="F11" i="9"/>
  <c r="F11" i="19"/>
  <c r="F13" i="18"/>
  <c r="F12" i="18"/>
  <c r="F11" i="15"/>
  <c r="F11" i="20"/>
  <c r="F11" i="23"/>
  <c r="H14" i="2"/>
  <c r="H16" i="2"/>
  <c r="H17" i="2" s="1"/>
  <c r="L16" i="7"/>
  <c r="L17" i="7" s="1"/>
  <c r="F16" i="2"/>
  <c r="F17" i="2" s="1"/>
  <c r="U11" i="5"/>
  <c r="U11" i="9"/>
  <c r="U13" i="4"/>
  <c r="U12" i="4"/>
  <c r="U11" i="14"/>
  <c r="U13" i="8"/>
  <c r="U12" i="8"/>
  <c r="U11" i="21"/>
  <c r="U11" i="13"/>
  <c r="U11" i="23"/>
  <c r="U13" i="20"/>
  <c r="U12" i="20"/>
  <c r="M13" i="2"/>
  <c r="M12" i="2"/>
  <c r="M13" i="7"/>
  <c r="M12" i="7"/>
  <c r="M11" i="4"/>
  <c r="M12" i="12"/>
  <c r="M13" i="12"/>
  <c r="M11" i="23"/>
  <c r="M13" i="10"/>
  <c r="M12" i="10"/>
  <c r="M16" i="10" s="1"/>
  <c r="M17" i="10" s="1"/>
  <c r="M13" i="11"/>
  <c r="M12" i="11"/>
  <c r="M13" i="15"/>
  <c r="M12" i="15"/>
  <c r="M11" i="21"/>
  <c r="M13" i="22"/>
  <c r="M12" i="22"/>
  <c r="M16" i="2"/>
  <c r="M17" i="2" s="1"/>
  <c r="Q13" i="5"/>
  <c r="Q12" i="5"/>
  <c r="Q11" i="4"/>
  <c r="Q11" i="9"/>
  <c r="Q13" i="12"/>
  <c r="Q12" i="12"/>
  <c r="Q13" i="10"/>
  <c r="Q12" i="10"/>
  <c r="Q13" i="18"/>
  <c r="Q12" i="18"/>
  <c r="Q11" i="13"/>
  <c r="Q11" i="21"/>
  <c r="Q13" i="20"/>
  <c r="Q12" i="20"/>
  <c r="Q16" i="20" s="1"/>
  <c r="Q17" i="20" s="1"/>
  <c r="I11" i="2"/>
  <c r="I11" i="7"/>
  <c r="I13" i="4"/>
  <c r="I12" i="4"/>
  <c r="I16" i="4" s="1"/>
  <c r="I17" i="4" s="1"/>
  <c r="I13" i="9"/>
  <c r="I12" i="9"/>
  <c r="I13" i="8"/>
  <c r="I12" i="8"/>
  <c r="I12" i="18"/>
  <c r="I13" i="18"/>
  <c r="I11" i="11"/>
  <c r="I11" i="15"/>
  <c r="I13" i="19"/>
  <c r="I12" i="19"/>
  <c r="I13" i="22"/>
  <c r="I12" i="22"/>
  <c r="G14" i="8"/>
  <c r="H16" i="8"/>
  <c r="H17" i="8" s="1"/>
  <c r="F16" i="6"/>
  <c r="F17" i="6" s="1"/>
  <c r="F14" i="6"/>
  <c r="P16" i="5"/>
  <c r="P17" i="5" s="1"/>
  <c r="L16" i="9"/>
  <c r="L17" i="9" s="1"/>
  <c r="G16" i="8"/>
  <c r="G17" i="8" s="1"/>
  <c r="N13" i="11"/>
  <c r="N12" i="11"/>
  <c r="K13" i="5"/>
  <c r="K12" i="5"/>
  <c r="K14" i="5" s="1"/>
  <c r="K13" i="2"/>
  <c r="K12" i="2"/>
  <c r="K16" i="2" s="1"/>
  <c r="K17" i="2" s="1"/>
  <c r="L11" i="15"/>
  <c r="L11" i="21"/>
  <c r="H13" i="12"/>
  <c r="H12" i="12"/>
  <c r="H13" i="19"/>
  <c r="H12" i="19"/>
  <c r="O13" i="13"/>
  <c r="O12" i="13"/>
  <c r="O14" i="13" s="1"/>
  <c r="O11" i="22"/>
  <c r="G11" i="23"/>
  <c r="G16" i="23"/>
  <c r="G17" i="23" s="1"/>
  <c r="E6" i="30"/>
  <c r="F6" i="30" s="1"/>
  <c r="F11" i="5"/>
  <c r="H13" i="4"/>
  <c r="H12" i="4"/>
  <c r="H14" i="4" s="1"/>
  <c r="S13" i="15"/>
  <c r="S12" i="15"/>
  <c r="K13" i="4"/>
  <c r="K12" i="4"/>
  <c r="K14" i="4" s="1"/>
  <c r="R13" i="20"/>
  <c r="R12" i="20"/>
  <c r="R16" i="20" s="1"/>
  <c r="R17" i="20" s="1"/>
  <c r="R13" i="13"/>
  <c r="R12" i="13"/>
  <c r="J11" i="11"/>
  <c r="J12" i="19"/>
  <c r="J13" i="19"/>
  <c r="F13" i="14"/>
  <c r="F12" i="14"/>
  <c r="C2" i="16"/>
  <c r="T16" i="7"/>
  <c r="T17" i="7" s="1"/>
  <c r="M13" i="5"/>
  <c r="M12" i="5"/>
  <c r="M13" i="9"/>
  <c r="M12" i="9"/>
  <c r="M13" i="8"/>
  <c r="M12" i="8"/>
  <c r="M13" i="19"/>
  <c r="M12" i="19"/>
  <c r="Q13" i="2"/>
  <c r="Q12" i="2"/>
  <c r="Q12" i="14"/>
  <c r="Q13" i="14"/>
  <c r="I13" i="12"/>
  <c r="I12" i="12"/>
  <c r="I13" i="20"/>
  <c r="I12" i="20"/>
  <c r="I13" i="23"/>
  <c r="I12" i="23"/>
  <c r="E4" i="30"/>
  <c r="F4" i="30" s="1"/>
  <c r="R16" i="21"/>
  <c r="R17" i="21" s="1"/>
  <c r="H11" i="15"/>
  <c r="S11" i="8"/>
  <c r="O13" i="7"/>
  <c r="O12" i="7"/>
  <c r="O11" i="7"/>
  <c r="O13" i="5"/>
  <c r="O12" i="5"/>
  <c r="O11" i="5"/>
  <c r="O13" i="2"/>
  <c r="O12" i="2"/>
  <c r="O11" i="2"/>
  <c r="T13" i="11"/>
  <c r="T12" i="11"/>
  <c r="T13" i="13"/>
  <c r="T12" i="13"/>
  <c r="T11" i="20"/>
  <c r="T11" i="14"/>
  <c r="T11" i="19"/>
  <c r="T12" i="23"/>
  <c r="T13" i="23"/>
  <c r="P11" i="10"/>
  <c r="P16" i="10"/>
  <c r="P17" i="10" s="1"/>
  <c r="P12" i="15"/>
  <c r="P13" i="15"/>
  <c r="P13" i="12"/>
  <c r="P12" i="12"/>
  <c r="P13" i="18"/>
  <c r="P12" i="18"/>
  <c r="P16" i="18" s="1"/>
  <c r="P17" i="18" s="1"/>
  <c r="P13" i="20"/>
  <c r="P12" i="20"/>
  <c r="L13" i="10"/>
  <c r="L12" i="10"/>
  <c r="L16" i="10" s="1"/>
  <c r="L17" i="10" s="1"/>
  <c r="L13" i="11"/>
  <c r="L12" i="11"/>
  <c r="L12" i="20"/>
  <c r="L13" i="20"/>
  <c r="L13" i="14"/>
  <c r="L12" i="14"/>
  <c r="L13" i="19"/>
  <c r="L12" i="19"/>
  <c r="L12" i="23"/>
  <c r="L13" i="23"/>
  <c r="H13" i="10"/>
  <c r="H12" i="10"/>
  <c r="H16" i="10" s="1"/>
  <c r="H17" i="10" s="1"/>
  <c r="H11" i="12"/>
  <c r="H11" i="18"/>
  <c r="H11" i="19"/>
  <c r="H11" i="22"/>
  <c r="O11" i="11"/>
  <c r="O11" i="13"/>
  <c r="O13" i="15"/>
  <c r="O12" i="15"/>
  <c r="O11" i="14"/>
  <c r="O13" i="20"/>
  <c r="O12" i="20"/>
  <c r="O11" i="21"/>
  <c r="K11" i="10"/>
  <c r="K11" i="11"/>
  <c r="K16" i="11"/>
  <c r="K17" i="11" s="1"/>
  <c r="K11" i="15"/>
  <c r="K13" i="14"/>
  <c r="K12" i="14"/>
  <c r="K13" i="20"/>
  <c r="K12" i="20"/>
  <c r="K13" i="23"/>
  <c r="K12" i="23"/>
  <c r="G13" i="9"/>
  <c r="G12" i="9"/>
  <c r="G13" i="13"/>
  <c r="G12" i="13"/>
  <c r="G16" i="13" s="1"/>
  <c r="G17" i="13" s="1"/>
  <c r="G13" i="12"/>
  <c r="G12" i="12"/>
  <c r="G13" i="18"/>
  <c r="G12" i="18"/>
  <c r="G13" i="22"/>
  <c r="G12" i="22"/>
  <c r="G13" i="21"/>
  <c r="G12" i="21"/>
  <c r="F11" i="10"/>
  <c r="H13" i="9"/>
  <c r="H12" i="9"/>
  <c r="N13" i="7"/>
  <c r="N12" i="7"/>
  <c r="N11" i="7"/>
  <c r="L13" i="6"/>
  <c r="L12" i="6"/>
  <c r="L11" i="6"/>
  <c r="J13" i="5"/>
  <c r="J12" i="5"/>
  <c r="J11" i="5"/>
  <c r="L13" i="4"/>
  <c r="L12" i="4"/>
  <c r="L11" i="4"/>
  <c r="J13" i="2"/>
  <c r="J12" i="2"/>
  <c r="J16" i="2" s="1"/>
  <c r="J17" i="2" s="1"/>
  <c r="J11" i="2"/>
  <c r="S11" i="13"/>
  <c r="S11" i="15"/>
  <c r="S13" i="12"/>
  <c r="S12" i="12"/>
  <c r="S13" i="18"/>
  <c r="S12" i="18"/>
  <c r="S13" i="19"/>
  <c r="S12" i="19"/>
  <c r="S11" i="23"/>
  <c r="H13" i="13"/>
  <c r="H12" i="13"/>
  <c r="H16" i="13" s="1"/>
  <c r="H17" i="13" s="1"/>
  <c r="P16" i="11"/>
  <c r="P17" i="11" s="1"/>
  <c r="D2" i="30"/>
  <c r="F13" i="8"/>
  <c r="F12" i="8"/>
  <c r="F16" i="8" s="1"/>
  <c r="F17" i="8" s="1"/>
  <c r="S13" i="6"/>
  <c r="S12" i="6"/>
  <c r="O13" i="4"/>
  <c r="O12" i="4"/>
  <c r="O11" i="4"/>
  <c r="R13" i="14"/>
  <c r="R12" i="14"/>
  <c r="R16" i="14" s="1"/>
  <c r="R17" i="14" s="1"/>
  <c r="R11" i="11"/>
  <c r="R11" i="18"/>
  <c r="R11" i="13"/>
  <c r="R11" i="20"/>
  <c r="R13" i="22"/>
  <c r="R12" i="22"/>
  <c r="N13" i="12"/>
  <c r="N12" i="12"/>
  <c r="N11" i="14"/>
  <c r="N12" i="22"/>
  <c r="N13" i="22"/>
  <c r="N13" i="13"/>
  <c r="N12" i="13"/>
  <c r="N13" i="19"/>
  <c r="N12" i="19"/>
  <c r="N13" i="23"/>
  <c r="N12" i="23"/>
  <c r="J13" i="14"/>
  <c r="J12" i="14"/>
  <c r="J14" i="14" s="1"/>
  <c r="J13" i="12"/>
  <c r="J12" i="12"/>
  <c r="J13" i="18"/>
  <c r="J12" i="18"/>
  <c r="J11" i="15"/>
  <c r="J13" i="20"/>
  <c r="J12" i="20"/>
  <c r="J13" i="23"/>
  <c r="J12" i="23"/>
  <c r="D8" i="30"/>
  <c r="F13" i="9"/>
  <c r="F12" i="9"/>
  <c r="F11" i="14"/>
  <c r="F12" i="19"/>
  <c r="F13" i="19"/>
  <c r="F13" i="15"/>
  <c r="F12" i="15"/>
  <c r="C8" i="16"/>
  <c r="D8" i="16" s="1"/>
  <c r="F13" i="20"/>
  <c r="F12" i="20"/>
  <c r="F13" i="23"/>
  <c r="F12" i="23"/>
  <c r="N11" i="11"/>
  <c r="L16" i="6"/>
  <c r="L17" i="6" s="1"/>
  <c r="S16" i="6"/>
  <c r="S17" i="6" s="1"/>
  <c r="U16" i="2"/>
  <c r="U17" i="2" s="1"/>
  <c r="U12" i="12"/>
  <c r="U13" i="12"/>
  <c r="U13" i="5"/>
  <c r="U12" i="5"/>
  <c r="U14" i="5" s="1"/>
  <c r="U13" i="9"/>
  <c r="U12" i="9"/>
  <c r="U11" i="6"/>
  <c r="U13" i="14"/>
  <c r="U12" i="14"/>
  <c r="U11" i="10"/>
  <c r="U12" i="19"/>
  <c r="U13" i="19"/>
  <c r="U13" i="13"/>
  <c r="U12" i="13"/>
  <c r="U13" i="23"/>
  <c r="U12" i="23"/>
  <c r="U11" i="22"/>
  <c r="M11" i="5"/>
  <c r="M11" i="9"/>
  <c r="M13" i="4"/>
  <c r="M12" i="4"/>
  <c r="M13" i="18"/>
  <c r="M12" i="18"/>
  <c r="M11" i="8"/>
  <c r="M11" i="18"/>
  <c r="M11" i="13"/>
  <c r="M11" i="19"/>
  <c r="M13" i="21"/>
  <c r="M12" i="21"/>
  <c r="Q11" i="2"/>
  <c r="Q11" i="7"/>
  <c r="Q13" i="4"/>
  <c r="Q12" i="4"/>
  <c r="Q13" i="9"/>
  <c r="Q12" i="9"/>
  <c r="Q11" i="8"/>
  <c r="Q11" i="19"/>
  <c r="Q12" i="19"/>
  <c r="Q16" i="19" s="1"/>
  <c r="Q17" i="19" s="1"/>
  <c r="Q13" i="19"/>
  <c r="Q13" i="13"/>
  <c r="Q12" i="13"/>
  <c r="Q13" i="21"/>
  <c r="Q12" i="21"/>
  <c r="Q11" i="22"/>
  <c r="I13" i="2"/>
  <c r="I12" i="2"/>
  <c r="I13" i="7"/>
  <c r="I12" i="7"/>
  <c r="I11" i="6"/>
  <c r="I11" i="12"/>
  <c r="I11" i="10"/>
  <c r="I11" i="20"/>
  <c r="I13" i="11"/>
  <c r="I12" i="11"/>
  <c r="I13" i="15"/>
  <c r="I12" i="15"/>
  <c r="I11" i="23"/>
  <c r="D4" i="30"/>
  <c r="T14" i="6"/>
  <c r="L14" i="8"/>
  <c r="H16" i="9"/>
  <c r="H17" i="9" s="1"/>
  <c r="U16" i="6"/>
  <c r="U17" i="6" s="1"/>
  <c r="G16" i="5"/>
  <c r="G17" i="5" s="1"/>
  <c r="R16" i="4"/>
  <c r="R17" i="4" s="1"/>
  <c r="D2" i="16" l="1"/>
  <c r="O16" i="22"/>
  <c r="O17" i="22" s="1"/>
  <c r="L16" i="5"/>
  <c r="L17" i="5" s="1"/>
  <c r="I14" i="6"/>
  <c r="D6" i="16"/>
  <c r="T14" i="4"/>
  <c r="D7" i="16"/>
  <c r="H16" i="7"/>
  <c r="H17" i="7" s="1"/>
  <c r="G16" i="4"/>
  <c r="G17" i="4" s="1"/>
  <c r="D4" i="16"/>
  <c r="P14" i="2"/>
  <c r="J16" i="4"/>
  <c r="J17" i="4" s="1"/>
  <c r="J14" i="7"/>
  <c r="T16" i="9"/>
  <c r="T17" i="9" s="1"/>
  <c r="T16" i="20"/>
  <c r="T17" i="20" s="1"/>
  <c r="O16" i="8"/>
  <c r="O17" i="8" s="1"/>
  <c r="H16" i="5"/>
  <c r="H17" i="5" s="1"/>
  <c r="K14" i="18"/>
  <c r="N14" i="8"/>
  <c r="N16" i="4"/>
  <c r="N17" i="4" s="1"/>
  <c r="M14" i="4"/>
  <c r="T14" i="13"/>
  <c r="O14" i="5"/>
  <c r="L16" i="21"/>
  <c r="L17" i="21" s="1"/>
  <c r="O14" i="23"/>
  <c r="K14" i="7"/>
  <c r="J14" i="20"/>
  <c r="R14" i="22"/>
  <c r="S14" i="6"/>
  <c r="L14" i="6"/>
  <c r="F16" i="10"/>
  <c r="F17" i="10" s="1"/>
  <c r="G14" i="22"/>
  <c r="O14" i="2"/>
  <c r="U14" i="20"/>
  <c r="U14" i="4"/>
  <c r="P14" i="8"/>
  <c r="P14" i="6"/>
  <c r="O14" i="18"/>
  <c r="P14" i="10"/>
  <c r="M14" i="6"/>
  <c r="U14" i="15"/>
  <c r="U14" i="2"/>
  <c r="R14" i="23"/>
  <c r="G14" i="6"/>
  <c r="R14" i="2"/>
  <c r="S14" i="13"/>
  <c r="R14" i="6"/>
  <c r="R16" i="6"/>
  <c r="R17" i="6" s="1"/>
  <c r="O14" i="7"/>
  <c r="Q14" i="10"/>
  <c r="H14" i="8"/>
  <c r="Q14" i="15"/>
  <c r="Q16" i="10"/>
  <c r="Q17" i="10" s="1"/>
  <c r="F14" i="7"/>
  <c r="G14" i="20"/>
  <c r="G14" i="14"/>
  <c r="G14" i="11"/>
  <c r="K14" i="12"/>
  <c r="G14" i="5"/>
  <c r="G14" i="7"/>
  <c r="K14" i="6"/>
  <c r="K14" i="11"/>
  <c r="Q14" i="13"/>
  <c r="Q16" i="13"/>
  <c r="Q17" i="13" s="1"/>
  <c r="M14" i="21"/>
  <c r="M16" i="21"/>
  <c r="M17" i="21" s="1"/>
  <c r="Q14" i="4"/>
  <c r="Q16" i="4"/>
  <c r="Q17" i="4" s="1"/>
  <c r="U14" i="23"/>
  <c r="U16" i="23"/>
  <c r="U17" i="23" s="1"/>
  <c r="U14" i="12"/>
  <c r="U16" i="12"/>
  <c r="U17" i="12" s="1"/>
  <c r="H14" i="12"/>
  <c r="H16" i="12"/>
  <c r="H17" i="12" s="1"/>
  <c r="T14" i="18"/>
  <c r="T16" i="18"/>
  <c r="T17" i="18" s="1"/>
  <c r="S14" i="2"/>
  <c r="S16" i="2"/>
  <c r="S17" i="2" s="1"/>
  <c r="M14" i="13"/>
  <c r="M16" i="13"/>
  <c r="M17" i="13" s="1"/>
  <c r="J14" i="15"/>
  <c r="J16" i="15"/>
  <c r="J17" i="15" s="1"/>
  <c r="R14" i="11"/>
  <c r="R16" i="11"/>
  <c r="R17" i="11" s="1"/>
  <c r="U16" i="4"/>
  <c r="U17" i="4" s="1"/>
  <c r="J14" i="9"/>
  <c r="J16" i="9"/>
  <c r="J17" i="9" s="1"/>
  <c r="O16" i="18"/>
  <c r="O17" i="18" s="1"/>
  <c r="R16" i="23"/>
  <c r="R17" i="23" s="1"/>
  <c r="Q14" i="8"/>
  <c r="Q16" i="8"/>
  <c r="Q17" i="8" s="1"/>
  <c r="M14" i="23"/>
  <c r="M16" i="23"/>
  <c r="M17" i="23" s="1"/>
  <c r="O14" i="14"/>
  <c r="O16" i="14"/>
  <c r="O17" i="14" s="1"/>
  <c r="H14" i="18"/>
  <c r="H16" i="18"/>
  <c r="H17" i="18" s="1"/>
  <c r="U14" i="14"/>
  <c r="U16" i="14"/>
  <c r="U17" i="14" s="1"/>
  <c r="L14" i="14"/>
  <c r="L16" i="14"/>
  <c r="L17" i="14" s="1"/>
  <c r="L14" i="11"/>
  <c r="L16" i="11"/>
  <c r="L17" i="11" s="1"/>
  <c r="P14" i="12"/>
  <c r="P16" i="12"/>
  <c r="P17" i="12" s="1"/>
  <c r="R14" i="15"/>
  <c r="R16" i="15"/>
  <c r="R17" i="15" s="1"/>
  <c r="N14" i="2"/>
  <c r="N16" i="2"/>
  <c r="N17" i="2" s="1"/>
  <c r="K14" i="15"/>
  <c r="K16" i="15"/>
  <c r="K17" i="15" s="1"/>
  <c r="Q14" i="21"/>
  <c r="Q16" i="21"/>
  <c r="Q17" i="21" s="1"/>
  <c r="J14" i="12"/>
  <c r="J16" i="12"/>
  <c r="J17" i="12" s="1"/>
  <c r="N14" i="23"/>
  <c r="N16" i="23"/>
  <c r="N17" i="23" s="1"/>
  <c r="N14" i="13"/>
  <c r="N16" i="13"/>
  <c r="N17" i="13" s="1"/>
  <c r="J14" i="5"/>
  <c r="J16" i="5"/>
  <c r="J17" i="5" s="1"/>
  <c r="G14" i="12"/>
  <c r="G16" i="12"/>
  <c r="G17" i="12" s="1"/>
  <c r="G14" i="9"/>
  <c r="G16" i="9"/>
  <c r="G17" i="9" s="1"/>
  <c r="K14" i="20"/>
  <c r="K16" i="20"/>
  <c r="K17" i="20" s="1"/>
  <c r="O14" i="15"/>
  <c r="O16" i="15"/>
  <c r="O17" i="15" s="1"/>
  <c r="L14" i="23"/>
  <c r="Q14" i="14"/>
  <c r="J14" i="19"/>
  <c r="J16" i="19"/>
  <c r="J17" i="19" s="1"/>
  <c r="M16" i="4"/>
  <c r="M17" i="4" s="1"/>
  <c r="I14" i="19"/>
  <c r="I16" i="19"/>
  <c r="I17" i="19" s="1"/>
  <c r="I14" i="9"/>
  <c r="I16" i="9"/>
  <c r="I17" i="9" s="1"/>
  <c r="U14" i="8"/>
  <c r="U16" i="8"/>
  <c r="U17" i="8" s="1"/>
  <c r="F14" i="18"/>
  <c r="F16" i="18"/>
  <c r="F17" i="18" s="1"/>
  <c r="F8" i="30"/>
  <c r="J14" i="13"/>
  <c r="J16" i="13"/>
  <c r="J17" i="13" s="1"/>
  <c r="S14" i="10"/>
  <c r="S16" i="10"/>
  <c r="S17" i="10" s="1"/>
  <c r="G16" i="22"/>
  <c r="G17" i="22" s="1"/>
  <c r="K14" i="9"/>
  <c r="K16" i="9"/>
  <c r="K17" i="9" s="1"/>
  <c r="O14" i="9"/>
  <c r="O16" i="9"/>
  <c r="O17" i="9" s="1"/>
  <c r="H14" i="21"/>
  <c r="H16" i="21"/>
  <c r="H17" i="21" s="1"/>
  <c r="H14" i="14"/>
  <c r="H16" i="14"/>
  <c r="H17" i="14" s="1"/>
  <c r="T14" i="12"/>
  <c r="T16" i="12"/>
  <c r="T17" i="12" s="1"/>
  <c r="T16" i="13"/>
  <c r="T17" i="13" s="1"/>
  <c r="S16" i="22"/>
  <c r="S17" i="22" s="1"/>
  <c r="U16" i="20"/>
  <c r="U17" i="20" s="1"/>
  <c r="N14" i="20"/>
  <c r="M16" i="6"/>
  <c r="M17" i="6" s="1"/>
  <c r="I16" i="14"/>
  <c r="I17" i="14" s="1"/>
  <c r="Q16" i="14"/>
  <c r="Q17" i="14" s="1"/>
  <c r="H16" i="4"/>
  <c r="H17" i="4" s="1"/>
  <c r="S14" i="11"/>
  <c r="S16" i="11"/>
  <c r="S17" i="11" s="1"/>
  <c r="N16" i="20"/>
  <c r="N17" i="20" s="1"/>
  <c r="K14" i="21"/>
  <c r="K16" i="21"/>
  <c r="K17" i="21" s="1"/>
  <c r="P14" i="23"/>
  <c r="K16" i="12"/>
  <c r="K17" i="12" s="1"/>
  <c r="I14" i="21"/>
  <c r="I16" i="21"/>
  <c r="I17" i="21" s="1"/>
  <c r="U14" i="18"/>
  <c r="U16" i="18"/>
  <c r="U17" i="18" s="1"/>
  <c r="N14" i="14"/>
  <c r="N16" i="14"/>
  <c r="N17" i="14" s="1"/>
  <c r="T14" i="21"/>
  <c r="T16" i="21"/>
  <c r="T17" i="21" s="1"/>
  <c r="S14" i="8"/>
  <c r="S16" i="8"/>
  <c r="S17" i="8" s="1"/>
  <c r="S16" i="13"/>
  <c r="S17" i="13" s="1"/>
  <c r="I16" i="6"/>
  <c r="I17" i="6" s="1"/>
  <c r="I14" i="15"/>
  <c r="I16" i="15"/>
  <c r="I17" i="15" s="1"/>
  <c r="I14" i="7"/>
  <c r="I16" i="7"/>
  <c r="I17" i="7" s="1"/>
  <c r="N14" i="22"/>
  <c r="N16" i="22"/>
  <c r="N17" i="22" s="1"/>
  <c r="S14" i="18"/>
  <c r="S16" i="18"/>
  <c r="S17" i="18" s="1"/>
  <c r="P14" i="20"/>
  <c r="P16" i="20"/>
  <c r="P17" i="20" s="1"/>
  <c r="I14" i="20"/>
  <c r="I16" i="20"/>
  <c r="I17" i="20" s="1"/>
  <c r="M14" i="19"/>
  <c r="M16" i="19"/>
  <c r="M17" i="19" s="1"/>
  <c r="M14" i="9"/>
  <c r="M16" i="9"/>
  <c r="M17" i="9" s="1"/>
  <c r="R14" i="13"/>
  <c r="R16" i="13"/>
  <c r="R17" i="13" s="1"/>
  <c r="M14" i="11"/>
  <c r="M16" i="11"/>
  <c r="M17" i="11" s="1"/>
  <c r="M14" i="7"/>
  <c r="M16" i="7"/>
  <c r="M17" i="7" s="1"/>
  <c r="R14" i="12"/>
  <c r="R16" i="12"/>
  <c r="R17" i="12" s="1"/>
  <c r="R16" i="7"/>
  <c r="R17" i="7" s="1"/>
  <c r="M14" i="18"/>
  <c r="M16" i="18"/>
  <c r="M17" i="18" s="1"/>
  <c r="U14" i="19"/>
  <c r="U16" i="19"/>
  <c r="U17" i="19" s="1"/>
  <c r="F14" i="23"/>
  <c r="F16" i="23"/>
  <c r="F17" i="23" s="1"/>
  <c r="F14" i="19"/>
  <c r="F16" i="19"/>
  <c r="F17" i="19" s="1"/>
  <c r="I14" i="11"/>
  <c r="I16" i="11"/>
  <c r="I17" i="11" s="1"/>
  <c r="I14" i="2"/>
  <c r="I16" i="2"/>
  <c r="I17" i="2" s="1"/>
  <c r="Q14" i="19"/>
  <c r="Q14" i="9"/>
  <c r="Q16" i="9"/>
  <c r="Q17" i="9" s="1"/>
  <c r="U14" i="13"/>
  <c r="U16" i="13"/>
  <c r="U17" i="13" s="1"/>
  <c r="F14" i="15"/>
  <c r="F16" i="15"/>
  <c r="F17" i="15" s="1"/>
  <c r="J14" i="23"/>
  <c r="J16" i="23"/>
  <c r="J17" i="23" s="1"/>
  <c r="N14" i="12"/>
  <c r="N16" i="12"/>
  <c r="N17" i="12" s="1"/>
  <c r="O14" i="4"/>
  <c r="O16" i="4"/>
  <c r="O17" i="4" s="1"/>
  <c r="F14" i="8"/>
  <c r="H14" i="13"/>
  <c r="S14" i="19"/>
  <c r="S16" i="19"/>
  <c r="S17" i="19" s="1"/>
  <c r="S14" i="12"/>
  <c r="S16" i="12"/>
  <c r="S17" i="12" s="1"/>
  <c r="L14" i="4"/>
  <c r="L16" i="4"/>
  <c r="L17" i="4" s="1"/>
  <c r="H14" i="9"/>
  <c r="O14" i="20"/>
  <c r="O16" i="20"/>
  <c r="O17" i="20" s="1"/>
  <c r="H14" i="10"/>
  <c r="L14" i="19"/>
  <c r="L16" i="19"/>
  <c r="L17" i="19" s="1"/>
  <c r="L14" i="10"/>
  <c r="P14" i="18"/>
  <c r="T14" i="11"/>
  <c r="T16" i="11"/>
  <c r="T17" i="11" s="1"/>
  <c r="O16" i="7"/>
  <c r="O17" i="7" s="1"/>
  <c r="Q16" i="15"/>
  <c r="Q17" i="15" s="1"/>
  <c r="F16" i="22"/>
  <c r="F17" i="22" s="1"/>
  <c r="I14" i="23"/>
  <c r="I16" i="23"/>
  <c r="I17" i="23" s="1"/>
  <c r="I14" i="12"/>
  <c r="I16" i="12"/>
  <c r="I17" i="12" s="1"/>
  <c r="Q14" i="2"/>
  <c r="Q16" i="2"/>
  <c r="Q17" i="2" s="1"/>
  <c r="M14" i="8"/>
  <c r="M16" i="8"/>
  <c r="M17" i="8" s="1"/>
  <c r="M14" i="5"/>
  <c r="F14" i="14"/>
  <c r="F16" i="14"/>
  <c r="F17" i="14" s="1"/>
  <c r="R14" i="20"/>
  <c r="S14" i="15"/>
  <c r="S16" i="15"/>
  <c r="S17" i="15" s="1"/>
  <c r="H14" i="19"/>
  <c r="H16" i="19"/>
  <c r="H17" i="19" s="1"/>
  <c r="K14" i="2"/>
  <c r="N14" i="11"/>
  <c r="N16" i="11"/>
  <c r="N17" i="11" s="1"/>
  <c r="K16" i="5"/>
  <c r="K17" i="5" s="1"/>
  <c r="I14" i="18"/>
  <c r="I16" i="18"/>
  <c r="I17" i="18" s="1"/>
  <c r="U16" i="5"/>
  <c r="U17" i="5" s="1"/>
  <c r="M14" i="15"/>
  <c r="M16" i="15"/>
  <c r="M17" i="15" s="1"/>
  <c r="M14" i="10"/>
  <c r="M14" i="12"/>
  <c r="M16" i="12"/>
  <c r="M17" i="12" s="1"/>
  <c r="M14" i="2"/>
  <c r="T16" i="4"/>
  <c r="T17" i="4" s="1"/>
  <c r="J16" i="14"/>
  <c r="J17" i="14" s="1"/>
  <c r="N14" i="18"/>
  <c r="N16" i="18"/>
  <c r="N17" i="18" s="1"/>
  <c r="R16" i="22"/>
  <c r="R17" i="22" s="1"/>
  <c r="R14" i="19"/>
  <c r="R16" i="19"/>
  <c r="R17" i="19" s="1"/>
  <c r="R14" i="9"/>
  <c r="R16" i="9"/>
  <c r="R17" i="9" s="1"/>
  <c r="S14" i="21"/>
  <c r="S16" i="21"/>
  <c r="S17" i="21" s="1"/>
  <c r="N14" i="5"/>
  <c r="P14" i="9"/>
  <c r="O14" i="12"/>
  <c r="O16" i="12"/>
  <c r="O17" i="12" s="1"/>
  <c r="L16" i="23"/>
  <c r="L17" i="23" s="1"/>
  <c r="P14" i="19"/>
  <c r="P16" i="19"/>
  <c r="P17" i="19" s="1"/>
  <c r="U16" i="15"/>
  <c r="U17" i="15" s="1"/>
  <c r="Q14" i="7"/>
  <c r="U14" i="10"/>
  <c r="N14" i="21"/>
  <c r="G16" i="11"/>
  <c r="G17" i="11" s="1"/>
  <c r="O14" i="21"/>
  <c r="O16" i="21"/>
  <c r="O17" i="21" s="1"/>
  <c r="H14" i="22"/>
  <c r="H16" i="22"/>
  <c r="H17" i="22" s="1"/>
  <c r="T14" i="14"/>
  <c r="T16" i="14"/>
  <c r="T17" i="14" s="1"/>
  <c r="J16" i="7"/>
  <c r="J17" i="7" s="1"/>
  <c r="I14" i="13"/>
  <c r="I14" i="5"/>
  <c r="Q14" i="23"/>
  <c r="Q16" i="23"/>
  <c r="Q17" i="23" s="1"/>
  <c r="Q14" i="11"/>
  <c r="Q14" i="6"/>
  <c r="K16" i="6"/>
  <c r="K17" i="6" s="1"/>
  <c r="M14" i="14"/>
  <c r="U14" i="11"/>
  <c r="U14" i="7"/>
  <c r="K16" i="4"/>
  <c r="K17" i="4" s="1"/>
  <c r="F14" i="21"/>
  <c r="F14" i="13"/>
  <c r="F14" i="11"/>
  <c r="D3" i="16"/>
  <c r="J14" i="21"/>
  <c r="J14" i="11"/>
  <c r="N14" i="15"/>
  <c r="N14" i="9"/>
  <c r="R14" i="21"/>
  <c r="P14" i="21"/>
  <c r="S14" i="14"/>
  <c r="F16" i="7"/>
  <c r="F17" i="7" s="1"/>
  <c r="F16" i="12"/>
  <c r="F17" i="12" s="1"/>
  <c r="O14" i="19"/>
  <c r="P14" i="14"/>
  <c r="G14" i="2"/>
  <c r="L16" i="12"/>
  <c r="L17" i="12" s="1"/>
  <c r="Q16" i="6"/>
  <c r="Q17" i="6" s="1"/>
  <c r="I14" i="10"/>
  <c r="I16" i="10"/>
  <c r="I17" i="10" s="1"/>
  <c r="Q14" i="22"/>
  <c r="Q16" i="22"/>
  <c r="Q17" i="22" s="1"/>
  <c r="M14" i="20"/>
  <c r="M16" i="20"/>
  <c r="M17" i="20" s="1"/>
  <c r="U14" i="22"/>
  <c r="U16" i="22"/>
  <c r="U17" i="22" s="1"/>
  <c r="U14" i="6"/>
  <c r="S14" i="23"/>
  <c r="S16" i="23"/>
  <c r="S17" i="23" s="1"/>
  <c r="H14" i="6"/>
  <c r="K16" i="18"/>
  <c r="K17" i="18" s="1"/>
  <c r="K14" i="10"/>
  <c r="K16" i="10"/>
  <c r="K17" i="10" s="1"/>
  <c r="O14" i="11"/>
  <c r="L16" i="13"/>
  <c r="L17" i="13" s="1"/>
  <c r="T14" i="19"/>
  <c r="T16" i="19"/>
  <c r="T17" i="19" s="1"/>
  <c r="O16" i="13"/>
  <c r="O17" i="13" s="1"/>
  <c r="O16" i="2"/>
  <c r="O17" i="2" s="1"/>
  <c r="U14" i="9"/>
  <c r="U16" i="9"/>
  <c r="U17" i="9" s="1"/>
  <c r="F14" i="20"/>
  <c r="F16" i="20"/>
  <c r="F17" i="20" s="1"/>
  <c r="F14" i="9"/>
  <c r="F16" i="9"/>
  <c r="F17" i="9" s="1"/>
  <c r="J14" i="18"/>
  <c r="J16" i="18"/>
  <c r="J17" i="18" s="1"/>
  <c r="N14" i="19"/>
  <c r="N16" i="19"/>
  <c r="N17" i="19" s="1"/>
  <c r="R14" i="14"/>
  <c r="J14" i="2"/>
  <c r="N14" i="7"/>
  <c r="N16" i="7"/>
  <c r="N17" i="7" s="1"/>
  <c r="G14" i="21"/>
  <c r="G16" i="21"/>
  <c r="G17" i="21" s="1"/>
  <c r="G14" i="18"/>
  <c r="G14" i="13"/>
  <c r="K14" i="23"/>
  <c r="K16" i="23"/>
  <c r="K17" i="23" s="1"/>
  <c r="K14" i="14"/>
  <c r="L14" i="20"/>
  <c r="L16" i="20"/>
  <c r="L17" i="20" s="1"/>
  <c r="P14" i="15"/>
  <c r="P16" i="15"/>
  <c r="P17" i="15" s="1"/>
  <c r="T14" i="23"/>
  <c r="T16" i="23"/>
  <c r="T17" i="23" s="1"/>
  <c r="I14" i="22"/>
  <c r="I16" i="22"/>
  <c r="I17" i="22" s="1"/>
  <c r="I14" i="8"/>
  <c r="I16" i="8"/>
  <c r="I17" i="8" s="1"/>
  <c r="I14" i="4"/>
  <c r="Q14" i="20"/>
  <c r="Q14" i="18"/>
  <c r="Q16" i="18"/>
  <c r="Q17" i="18" s="1"/>
  <c r="Q14" i="12"/>
  <c r="Q16" i="12"/>
  <c r="Q17" i="12" s="1"/>
  <c r="Q14" i="5"/>
  <c r="Q16" i="5"/>
  <c r="Q17" i="5" s="1"/>
  <c r="M14" i="22"/>
  <c r="M16" i="22"/>
  <c r="M17" i="22" s="1"/>
  <c r="J16" i="20"/>
  <c r="J17" i="20" s="1"/>
  <c r="S14" i="4"/>
  <c r="R14" i="10"/>
  <c r="R16" i="10"/>
  <c r="R17" i="10" s="1"/>
  <c r="S14" i="9"/>
  <c r="S16" i="9"/>
  <c r="S17" i="9" s="1"/>
  <c r="P14" i="4"/>
  <c r="G16" i="18"/>
  <c r="G17" i="18" s="1"/>
  <c r="K16" i="19"/>
  <c r="K17" i="19" s="1"/>
  <c r="K14" i="13"/>
  <c r="O14" i="10"/>
  <c r="O16" i="10"/>
  <c r="O17" i="10" s="1"/>
  <c r="H14" i="23"/>
  <c r="H16" i="23"/>
  <c r="H17" i="23" s="1"/>
  <c r="H14" i="20"/>
  <c r="P14" i="11"/>
  <c r="T14" i="15"/>
  <c r="S14" i="5"/>
  <c r="S16" i="5"/>
  <c r="S17" i="5" s="1"/>
  <c r="S14" i="7"/>
  <c r="F3" i="30"/>
  <c r="U14" i="21"/>
  <c r="U16" i="21"/>
  <c r="U17" i="21" s="1"/>
  <c r="G16" i="6"/>
  <c r="G17" i="6" s="1"/>
  <c r="J14" i="22"/>
  <c r="R14" i="5"/>
  <c r="F7" i="30"/>
  <c r="R14" i="8"/>
  <c r="G14" i="23"/>
  <c r="G14" i="19"/>
  <c r="G14" i="15"/>
  <c r="G14" i="10"/>
  <c r="K14" i="22"/>
  <c r="K16" i="22"/>
  <c r="K17" i="22" s="1"/>
  <c r="O16" i="23"/>
  <c r="O17" i="23" s="1"/>
  <c r="L14" i="22"/>
  <c r="L16" i="22"/>
  <c r="L17" i="22" s="1"/>
  <c r="L14" i="18"/>
  <c r="L14" i="15"/>
  <c r="P14" i="22"/>
  <c r="T14" i="22"/>
  <c r="T14" i="10"/>
  <c r="R14" i="18"/>
  <c r="R16" i="18"/>
  <c r="R17" i="18" s="1"/>
  <c r="P16" i="8"/>
  <c r="P17" i="8" s="1"/>
  <c r="S16" i="20"/>
  <c r="S17" i="20" s="1"/>
  <c r="F14" i="2"/>
  <c r="F14" i="5"/>
  <c r="H14" i="15"/>
  <c r="H16" i="15"/>
  <c r="H17" i="15" s="1"/>
  <c r="K16" i="7"/>
  <c r="K17" i="7" s="1"/>
  <c r="J14" i="10"/>
  <c r="J16" i="10"/>
  <c r="J17" i="10" s="1"/>
  <c r="K16" i="14"/>
  <c r="K17" i="14" s="1"/>
  <c r="O16" i="5"/>
  <c r="O17" i="5" s="1"/>
  <c r="M16" i="5"/>
  <c r="M17" i="5" s="1"/>
  <c r="B19" i="4" l="1"/>
  <c r="G4" i="30" s="1"/>
  <c r="B19" i="6"/>
  <c r="G3" i="30" s="1"/>
  <c r="B19" i="11"/>
  <c r="F6" i="16" s="1"/>
  <c r="B19" i="21"/>
  <c r="E3" i="17" s="1"/>
  <c r="B19" i="13"/>
  <c r="F7" i="16" s="1"/>
  <c r="B19" i="8"/>
  <c r="G2" i="30" s="1"/>
  <c r="B19" i="2"/>
  <c r="E5" i="17" s="1"/>
  <c r="B19" i="5"/>
  <c r="G6" i="30" s="1"/>
  <c r="B19" i="10"/>
  <c r="F4" i="16" s="1"/>
  <c r="B19" i="7"/>
  <c r="G7" i="30" s="1"/>
  <c r="B19" i="14"/>
  <c r="F2" i="16" s="1"/>
  <c r="B19" i="20"/>
  <c r="E7" i="17" s="1"/>
  <c r="B19" i="19"/>
  <c r="E6" i="17" s="1"/>
  <c r="B19" i="18"/>
  <c r="E4" i="17" s="1"/>
  <c r="B19" i="15"/>
  <c r="F8" i="16" s="1"/>
  <c r="B19" i="9"/>
  <c r="G8" i="30" s="1"/>
  <c r="B19" i="12"/>
  <c r="F3" i="16" s="1"/>
  <c r="B19" i="22"/>
  <c r="E2" i="17" s="1"/>
  <c r="B19" i="23"/>
  <c r="E8" i="17" s="1"/>
  <c r="G3" i="17" l="1"/>
  <c r="F3" i="17"/>
  <c r="A2" i="16"/>
  <c r="A3" i="16" s="1"/>
  <c r="A4" i="16" s="1"/>
  <c r="A5" i="16" s="1"/>
  <c r="A6" i="16" s="1"/>
  <c r="A7" i="16" s="1"/>
  <c r="A8" i="16" s="1"/>
  <c r="F5" i="16"/>
  <c r="E4" i="16" s="1"/>
  <c r="G5" i="30"/>
  <c r="E5" i="29"/>
  <c r="G6" i="29" s="1"/>
  <c r="I8" i="30"/>
  <c r="H8" i="30"/>
  <c r="F7" i="17"/>
  <c r="G7" i="17"/>
  <c r="I5" i="30"/>
  <c r="H5" i="30"/>
  <c r="G5" i="29"/>
  <c r="G4" i="29"/>
  <c r="F7" i="29"/>
  <c r="G4" i="17"/>
  <c r="F4" i="17"/>
  <c r="H4" i="30"/>
  <c r="G8" i="17"/>
  <c r="F8" i="17"/>
  <c r="G2" i="17"/>
  <c r="F2" i="17"/>
  <c r="I7" i="30"/>
  <c r="H7" i="30"/>
  <c r="G6" i="17"/>
  <c r="F6" i="17"/>
  <c r="G4" i="16"/>
  <c r="H2" i="30"/>
  <c r="F5" i="17"/>
  <c r="G5" i="17"/>
  <c r="I4" i="30"/>
  <c r="F4" i="29" l="1"/>
  <c r="F5" i="29"/>
  <c r="G3" i="16"/>
  <c r="G3" i="29"/>
  <c r="E2" i="16"/>
  <c r="E8" i="16"/>
  <c r="E7" i="16"/>
  <c r="G5" i="16"/>
  <c r="G8" i="16"/>
  <c r="E6" i="16"/>
  <c r="E5" i="16"/>
  <c r="E3" i="16"/>
  <c r="G2" i="16"/>
  <c r="G2" i="29"/>
  <c r="G7" i="29"/>
  <c r="F6" i="29"/>
  <c r="I3" i="30"/>
  <c r="H6" i="30"/>
  <c r="I6" i="30"/>
  <c r="H3" i="30"/>
  <c r="F2" i="29"/>
  <c r="F3" i="29"/>
  <c r="G7" i="16"/>
  <c r="G6" i="16"/>
  <c r="I2" i="30"/>
</calcChain>
</file>

<file path=xl/sharedStrings.xml><?xml version="1.0" encoding="utf-8"?>
<sst xmlns="http://schemas.openxmlformats.org/spreadsheetml/2006/main" count="991" uniqueCount="69">
  <si>
    <t>Scenario input parameters</t>
  </si>
  <si>
    <t>BaseCase</t>
  </si>
  <si>
    <t>Unit Cost Analysis:</t>
  </si>
  <si>
    <t>Year 0, Development</t>
  </si>
  <si>
    <t xml:space="preserve">Data imported from Winter's method
</t>
  </si>
  <si>
    <t>Year 1, Projection</t>
  </si>
  <si>
    <t>Year 2, Projection</t>
  </si>
  <si>
    <t>Year 3, Projection</t>
  </si>
  <si>
    <t>Year</t>
  </si>
  <si>
    <t>Year 4, Projection</t>
  </si>
  <si>
    <t>Period</t>
  </si>
  <si>
    <t>Quarter</t>
  </si>
  <si>
    <t>Sales &amp; Product Volume (units/year)</t>
  </si>
  <si>
    <t>Values imported from forecast</t>
  </si>
  <si>
    <t>Development Cost (total $)</t>
  </si>
  <si>
    <t>Unit price ($/unit)</t>
  </si>
  <si>
    <t>Unit Productions Cost ($/unit)</t>
  </si>
  <si>
    <t>Ramp-up cost (total S)</t>
  </si>
  <si>
    <t>Marketing &amp; suppost cost ($/year)</t>
  </si>
  <si>
    <t>($Value in thousands)</t>
  </si>
  <si>
    <t>Q1</t>
  </si>
  <si>
    <t>Q2</t>
  </si>
  <si>
    <t>Q3</t>
  </si>
  <si>
    <t>Annual Discount Factor (%)</t>
  </si>
  <si>
    <t>Q4</t>
  </si>
  <si>
    <t>Development Cost</t>
  </si>
  <si>
    <t>Ramp-up cost</t>
  </si>
  <si>
    <t>Marketing &amp; support cost</t>
  </si>
  <si>
    <t>Production Cost</t>
  </si>
  <si>
    <t xml:space="preserve">    Production volume</t>
  </si>
  <si>
    <t xml:space="preserve">    Unit product cost</t>
  </si>
  <si>
    <t>Sales revenue</t>
  </si>
  <si>
    <t xml:space="preserve">    Forecasted Sales Volume</t>
  </si>
  <si>
    <t xml:space="preserve">    Unit price</t>
  </si>
  <si>
    <t>Period Cash Flow</t>
  </si>
  <si>
    <t>Unit Price</t>
  </si>
  <si>
    <t>Project NVP</t>
  </si>
  <si>
    <t>Forecasted Sales Volume from Winter's forecasting method*</t>
  </si>
  <si>
    <t>Sales Volume Analysis:</t>
  </si>
  <si>
    <t>Development Cost Analysis:</t>
  </si>
  <si>
    <t>Base Sales, Qty</t>
  </si>
  <si>
    <t>Change in Sales Volume (%)</t>
  </si>
  <si>
    <t>Sales Volume (Qty)</t>
  </si>
  <si>
    <t>Change in Sales Volume (Qty)</t>
  </si>
  <si>
    <t>Change in NPV, %</t>
  </si>
  <si>
    <t>NPV, $ Thousands</t>
  </si>
  <si>
    <t>Change in NPV, $ Thousands</t>
  </si>
  <si>
    <t>Base Dev Cost, $</t>
  </si>
  <si>
    <t>Change in Development Cost, %</t>
  </si>
  <si>
    <t>Development Cost, $</t>
  </si>
  <si>
    <t>Change in Development Cost, $</t>
  </si>
  <si>
    <t>Dev Time</t>
  </si>
  <si>
    <t>Year 1</t>
  </si>
  <si>
    <t>Year 2</t>
  </si>
  <si>
    <t>Year 3</t>
  </si>
  <si>
    <t>Year 4</t>
  </si>
  <si>
    <t>Production volume</t>
  </si>
  <si>
    <t>Unit product cost</t>
  </si>
  <si>
    <t>sales volume</t>
  </si>
  <si>
    <t>unit price</t>
  </si>
  <si>
    <t>Change in DevTime, # of Qrts</t>
  </si>
  <si>
    <t>Development Cost, $ Thounsands</t>
  </si>
  <si>
    <t>Change in Development Cost, $ Thousands</t>
  </si>
  <si>
    <t>Base Unit Cost, $</t>
  </si>
  <si>
    <t>Change in Unit Production Cost, %</t>
  </si>
  <si>
    <t>New Unit Cost</t>
  </si>
  <si>
    <t>Unit Volume</t>
  </si>
  <si>
    <t>Total Cost Product Cost</t>
  </si>
  <si>
    <t>Change in Total Product Cost, $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</si>
</sst>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  <font>
      <b/>
      <sz val="11"/>
      <color theme="1"/>
      <name val="Aptos Narrow"/>
      <family val="2"/>
    </font>
    <font>
      <sz val="12"/>
      <color rgb="FF000000"/>
      <name val="Arial"/>
      <family val="2"/>
    </font>
    <font>
      <sz val="12"/>
      <color theme="1"/>
      <name val="Play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9" fontId="1" fillId="0" borderId="0" xfId="0" applyNumberFormat="1" applyFont="1"/>
    <xf numFmtId="0" fontId="4" fillId="2" borderId="1" xfId="0" applyFont="1" applyFill="1" applyBorder="1" applyAlignment="1">
      <alignment horizontal="center" wrapText="1"/>
    </xf>
    <xf numFmtId="0" fontId="2" fillId="2" borderId="0" xfId="0" applyFont="1" applyFill="1"/>
    <xf numFmtId="0" fontId="3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/>
    <xf numFmtId="0" fontId="7" fillId="2" borderId="0" xfId="0" applyFont="1" applyFill="1"/>
    <xf numFmtId="4" fontId="3" fillId="0" borderId="0" xfId="0" applyNumberFormat="1" applyFont="1"/>
    <xf numFmtId="0" fontId="7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wrapText="1"/>
    </xf>
    <xf numFmtId="3" fontId="2" fillId="2" borderId="0" xfId="0" applyNumberFormat="1" applyFont="1" applyFill="1"/>
    <xf numFmtId="4" fontId="8" fillId="2" borderId="0" xfId="0" applyNumberFormat="1" applyFont="1" applyFill="1"/>
    <xf numFmtId="4" fontId="8" fillId="0" borderId="0" xfId="0" applyNumberFormat="1" applyFont="1"/>
    <xf numFmtId="4" fontId="2" fillId="0" borderId="0" xfId="0" applyNumberFormat="1" applyFont="1"/>
    <xf numFmtId="4" fontId="2" fillId="2" borderId="0" xfId="0" applyNumberFormat="1" applyFont="1" applyFill="1"/>
    <xf numFmtId="3" fontId="8" fillId="2" borderId="0" xfId="0" applyNumberFormat="1" applyFont="1" applyFill="1"/>
    <xf numFmtId="3" fontId="8" fillId="0" borderId="0" xfId="0" applyNumberFormat="1" applyFont="1"/>
    <xf numFmtId="3" fontId="2" fillId="0" borderId="0" xfId="0" applyNumberFormat="1" applyFont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1" fontId="2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NPV Total ($) vs Change in Sales Volume (%)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SalesVolume_Sensitivity!$F$1</c:f>
              <c:strCache>
                <c:ptCount val="1"/>
                <c:pt idx="0">
                  <c:v>NPV, $ Thousands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Trendline for NPV, $ Thousands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SalesVolume_Sensitivity!$B$2:$B$8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</c:v>
                </c:pt>
                <c:pt idx="4">
                  <c:v>-0.1</c:v>
                </c:pt>
                <c:pt idx="5">
                  <c:v>-0.2</c:v>
                </c:pt>
                <c:pt idx="6">
                  <c:v>-0.3</c:v>
                </c:pt>
              </c:numCache>
            </c:numRef>
          </c:cat>
          <c:val>
            <c:numRef>
              <c:f>SalesVolume_Sensitivity!$F$2:$F$8</c:f>
              <c:numCache>
                <c:formatCode>#,##0</c:formatCode>
                <c:ptCount val="7"/>
                <c:pt idx="0">
                  <c:v>39279.220844207412</c:v>
                </c:pt>
                <c:pt idx="1">
                  <c:v>34674.810517763035</c:v>
                </c:pt>
                <c:pt idx="2">
                  <c:v>30070.400191318651</c:v>
                </c:pt>
                <c:pt idx="3">
                  <c:v>25465.989864874267</c:v>
                </c:pt>
                <c:pt idx="4">
                  <c:v>20861.579538429884</c:v>
                </c:pt>
                <c:pt idx="5">
                  <c:v>16257.169211985512</c:v>
                </c:pt>
                <c:pt idx="6">
                  <c:v>11652.758885541127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3-4E20-AAEE-1DA1AFBF1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3508046"/>
        <c:axId val="1114883388"/>
        <c:axId val="0"/>
      </c:bar3DChart>
      <c:catAx>
        <c:axId val="1983508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Change in Sales Volume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4883388"/>
        <c:crosses val="autoZero"/>
        <c:auto val="1"/>
        <c:lblAlgn val="ctr"/>
        <c:lblOffset val="100"/>
        <c:noMultiLvlLbl val="1"/>
      </c:catAx>
      <c:valAx>
        <c:axId val="1114883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NPV Total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35080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NPV Total ($) vs Change in DevCost (%)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DevelopmentCost_Sensitivity!$E$1</c:f>
              <c:strCache>
                <c:ptCount val="1"/>
                <c:pt idx="0">
                  <c:v>NPV, $ Thousands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Trendline for NPV, $ Thousands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DevelopmentCost_Sensitivity!$B$2:$B$8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</c:v>
                </c:pt>
                <c:pt idx="4">
                  <c:v>-0.1</c:v>
                </c:pt>
                <c:pt idx="5">
                  <c:v>-0.2</c:v>
                </c:pt>
                <c:pt idx="6">
                  <c:v>-0.3</c:v>
                </c:pt>
              </c:numCache>
            </c:numRef>
          </c:cat>
          <c:val>
            <c:numRef>
              <c:f>DevelopmentCost_Sensitivity!$E$2:$E$8</c:f>
              <c:numCache>
                <c:formatCode>#,##0</c:formatCode>
                <c:ptCount val="7"/>
                <c:pt idx="0">
                  <c:v>25448.308609296044</c:v>
                </c:pt>
                <c:pt idx="1">
                  <c:v>25454.202361155454</c:v>
                </c:pt>
                <c:pt idx="2">
                  <c:v>25460.096113014857</c:v>
                </c:pt>
                <c:pt idx="3">
                  <c:v>25465.989864874267</c:v>
                </c:pt>
                <c:pt idx="4">
                  <c:v>25471.883616733678</c:v>
                </c:pt>
                <c:pt idx="5">
                  <c:v>25477.777368593088</c:v>
                </c:pt>
                <c:pt idx="6">
                  <c:v>25483.671120452498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8-4E5B-98DD-25CEA5B64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6333495"/>
        <c:axId val="942147869"/>
        <c:axId val="0"/>
      </c:bar3DChart>
      <c:catAx>
        <c:axId val="1786333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Change in DevCost (%)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2147869"/>
        <c:crosses val="autoZero"/>
        <c:auto val="1"/>
        <c:lblAlgn val="ctr"/>
        <c:lblOffset val="100"/>
        <c:noMultiLvlLbl val="1"/>
      </c:catAx>
      <c:valAx>
        <c:axId val="942147869"/>
        <c:scaling>
          <c:orientation val="minMax"/>
          <c:min val="254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NPV Total ($)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63334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NPV Total ($) vs Change in Unit Product Cost (%)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UnitCost_Sensitivity!$G$1</c:f>
              <c:strCache>
                <c:ptCount val="1"/>
                <c:pt idx="0">
                  <c:v>NPV, $ Thousands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Trendline for NPV, $ Thousands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UnitCost_Sensitivity!$B$2:$B$8</c:f>
              <c:numCache>
                <c:formatCode>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</c:v>
                </c:pt>
                <c:pt idx="4">
                  <c:v>-0.1</c:v>
                </c:pt>
                <c:pt idx="5">
                  <c:v>-0.2</c:v>
                </c:pt>
                <c:pt idx="6">
                  <c:v>-0.3</c:v>
                </c:pt>
              </c:numCache>
            </c:numRef>
          </c:cat>
          <c:val>
            <c:numRef>
              <c:f>UnitCost_Sensitivity!$G$2:$G$8</c:f>
              <c:numCache>
                <c:formatCode>#,##0</c:formatCode>
                <c:ptCount val="7"/>
                <c:pt idx="0">
                  <c:v>19402.792130519996</c:v>
                </c:pt>
                <c:pt idx="1">
                  <c:v>21234.760318556269</c:v>
                </c:pt>
                <c:pt idx="2">
                  <c:v>23066.72850659255</c:v>
                </c:pt>
                <c:pt idx="3">
                  <c:v>25465.989864874267</c:v>
                </c:pt>
                <c:pt idx="4">
                  <c:v>26730.664882665107</c:v>
                </c:pt>
                <c:pt idx="5">
                  <c:v>28562.633070701377</c:v>
                </c:pt>
                <c:pt idx="6">
                  <c:v>30394.601258737661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C-4441-9B31-7FEC6A91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0971218"/>
        <c:axId val="268996866"/>
        <c:axId val="0"/>
      </c:bar3DChart>
      <c:catAx>
        <c:axId val="2110971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Change in Unit Production Cost (%)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8996866"/>
        <c:crosses val="autoZero"/>
        <c:auto val="1"/>
        <c:lblAlgn val="ctr"/>
        <c:lblOffset val="100"/>
        <c:noMultiLvlLbl val="1"/>
      </c:catAx>
      <c:valAx>
        <c:axId val="268996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NPV Total ($)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09712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8</xdr:row>
      <xdr:rowOff>190500</xdr:rowOff>
    </xdr:from>
    <xdr:ext cx="5715000" cy="3533775"/>
    <xdr:graphicFrame macro="">
      <xdr:nvGraphicFramePr>
        <xdr:cNvPr id="988853470" name="Chart 1" title="Chart">
          <a:extLst>
            <a:ext uri="{FF2B5EF4-FFF2-40B4-BE49-F238E27FC236}">
              <a16:creationId xmlns:a16="http://schemas.microsoft.com/office/drawing/2014/main" id="{00000000-0008-0000-0F00-0000DEB4F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9</xdr:row>
      <xdr:rowOff>9525</xdr:rowOff>
    </xdr:from>
    <xdr:ext cx="5715000" cy="3533775"/>
    <xdr:graphicFrame macro="">
      <xdr:nvGraphicFramePr>
        <xdr:cNvPr id="1402509136" name="Chart 2" title="Chart">
          <a:extLst>
            <a:ext uri="{FF2B5EF4-FFF2-40B4-BE49-F238E27FC236}">
              <a16:creationId xmlns:a16="http://schemas.microsoft.com/office/drawing/2014/main" id="{00000000-0008-0000-1000-000050979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9</xdr:row>
      <xdr:rowOff>9525</xdr:rowOff>
    </xdr:from>
    <xdr:ext cx="5715000" cy="3533775"/>
    <xdr:graphicFrame macro="">
      <xdr:nvGraphicFramePr>
        <xdr:cNvPr id="714603653" name="Chart 3" title="Chart">
          <a:extLst>
            <a:ext uri="{FF2B5EF4-FFF2-40B4-BE49-F238E27FC236}">
              <a16:creationId xmlns:a16="http://schemas.microsoft.com/office/drawing/2014/main" id="{00000000-0008-0000-1D00-000085FC9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2" sqref="B12"/>
    </sheetView>
  </sheetViews>
  <sheetFormatPr defaultColWidth="11.25" defaultRowHeight="15" customHeight="1"/>
  <cols>
    <col min="1" max="1" width="32.6640625" customWidth="1"/>
    <col min="2" max="2" width="27" customWidth="1"/>
    <col min="3" max="3" width="10.58203125" customWidth="1"/>
    <col min="4" max="4" width="21.08203125" customWidth="1"/>
    <col min="5" max="26" width="10.58203125" customWidth="1"/>
  </cols>
  <sheetData>
    <row r="1" spans="1:7" ht="15.75" customHeight="1">
      <c r="A1" s="31" t="s">
        <v>0</v>
      </c>
      <c r="B1" s="32"/>
      <c r="D1" s="33" t="s">
        <v>4</v>
      </c>
      <c r="E1" s="5" t="s">
        <v>8</v>
      </c>
      <c r="F1" s="5" t="s">
        <v>11</v>
      </c>
      <c r="G1" s="3" t="str">
        <f ca="1">IFERROR(__xludf.DUMMYFUNCTION("IMPORTRANGE(""https://docs.google.com/spreadsheets/d/1Y3ibnN86RzRcOvz_3iryQpOSIamHQku_1S-6YqExw5w/edit?gid=1531545304#gid=1531545304"", ""Winter!H1:H18"")"),"Forecast")</f>
        <v>Forecast</v>
      </c>
    </row>
    <row r="2" spans="1:7" ht="15.75" customHeight="1">
      <c r="A2" s="7" t="s">
        <v>12</v>
      </c>
      <c r="B2" s="8" t="s">
        <v>13</v>
      </c>
      <c r="C2" s="9"/>
      <c r="D2" s="32"/>
      <c r="E2" s="10"/>
      <c r="F2" s="10"/>
      <c r="G2" s="6"/>
    </row>
    <row r="3" spans="1:7" ht="15.75" customHeight="1">
      <c r="A3" s="7" t="s">
        <v>14</v>
      </c>
      <c r="B3" s="11">
        <v>60480</v>
      </c>
      <c r="C3" s="9"/>
      <c r="D3" s="32"/>
      <c r="E3" s="12">
        <v>1</v>
      </c>
      <c r="F3" s="13">
        <v>1</v>
      </c>
      <c r="G3" s="14">
        <f ca="1">IFERROR(__xludf.DUMMYFUNCTION("""COMPUTED_VALUE"""),3106.96607)</f>
        <v>3106.9660699999999</v>
      </c>
    </row>
    <row r="4" spans="1:7" ht="15.75" customHeight="1">
      <c r="A4" s="7" t="s">
        <v>15</v>
      </c>
      <c r="B4" s="11">
        <v>299</v>
      </c>
      <c r="C4" s="9"/>
      <c r="D4" s="32"/>
      <c r="E4" s="12">
        <v>1</v>
      </c>
      <c r="F4" s="13">
        <v>2</v>
      </c>
      <c r="G4" s="14">
        <f ca="1">IFERROR(__xludf.DUMMYFUNCTION("""COMPUTED_VALUE"""),7938.07622732285)</f>
        <v>7938.0762273228502</v>
      </c>
    </row>
    <row r="5" spans="1:7" ht="15.75" customHeight="1">
      <c r="A5" s="7" t="s">
        <v>16</v>
      </c>
      <c r="B5" s="11">
        <v>115.28</v>
      </c>
      <c r="C5" s="9"/>
      <c r="D5" s="32"/>
      <c r="E5" s="12">
        <v>1</v>
      </c>
      <c r="F5" s="13">
        <v>3</v>
      </c>
      <c r="G5" s="14">
        <f ca="1">IFERROR(__xludf.DUMMYFUNCTION("""COMPUTED_VALUE"""),6160.35736753071)</f>
        <v>6160.3573675307098</v>
      </c>
    </row>
    <row r="6" spans="1:7" ht="15.75" customHeight="1">
      <c r="A6" s="7" t="s">
        <v>17</v>
      </c>
      <c r="B6" s="11">
        <v>6048</v>
      </c>
      <c r="C6" s="9"/>
      <c r="D6" s="32"/>
      <c r="E6" s="12">
        <v>1</v>
      </c>
      <c r="F6" s="13">
        <v>4</v>
      </c>
      <c r="G6" s="14">
        <f ca="1">IFERROR(__xludf.DUMMYFUNCTION("""COMPUTED_VALUE"""),11872.917093341)</f>
        <v>11872.917093341001</v>
      </c>
    </row>
    <row r="7" spans="1:7" ht="15.75" customHeight="1">
      <c r="A7" s="7" t="s">
        <v>18</v>
      </c>
      <c r="B7" s="11">
        <v>840000</v>
      </c>
      <c r="C7" s="9"/>
      <c r="D7" s="32"/>
      <c r="E7" s="12">
        <v>2</v>
      </c>
      <c r="F7" s="13">
        <v>1</v>
      </c>
      <c r="G7" s="14">
        <f ca="1">IFERROR(__xludf.DUMMYFUNCTION("""COMPUTED_VALUE"""),6518.25608721043)</f>
        <v>6518.2560872104305</v>
      </c>
    </row>
    <row r="8" spans="1:7" ht="15.75" customHeight="1">
      <c r="A8" s="7" t="s">
        <v>23</v>
      </c>
      <c r="B8" s="11">
        <v>7</v>
      </c>
      <c r="D8" s="32"/>
      <c r="E8" s="12">
        <v>2</v>
      </c>
      <c r="F8" s="13">
        <v>2</v>
      </c>
      <c r="G8" s="14">
        <f ca="1">IFERROR(__xludf.DUMMYFUNCTION("""COMPUTED_VALUE"""),12977.6452429524)</f>
        <v>12977.6452429524</v>
      </c>
    </row>
    <row r="9" spans="1:7" ht="15.75" customHeight="1">
      <c r="D9" s="32"/>
      <c r="E9" s="12">
        <v>2</v>
      </c>
      <c r="F9" s="13">
        <v>3</v>
      </c>
      <c r="G9" s="14">
        <f ca="1">IFERROR(__xludf.DUMMYFUNCTION("""COMPUTED_VALUE"""),8761.31976315513)</f>
        <v>8761.3197631551302</v>
      </c>
    </row>
    <row r="10" spans="1:7" ht="15.75" customHeight="1">
      <c r="D10" s="32"/>
      <c r="E10" s="12">
        <v>2</v>
      </c>
      <c r="F10" s="13">
        <v>4</v>
      </c>
      <c r="G10" s="14">
        <f ca="1">IFERROR(__xludf.DUMMYFUNCTION("""COMPUTED_VALUE"""),15586.1371602808)</f>
        <v>15586.137160280799</v>
      </c>
    </row>
    <row r="11" spans="1:7" ht="15.75" customHeight="1">
      <c r="D11" s="32"/>
      <c r="E11" s="12">
        <v>3</v>
      </c>
      <c r="F11" s="13">
        <v>1</v>
      </c>
      <c r="G11" s="14">
        <f ca="1">IFERROR(__xludf.DUMMYFUNCTION("""COMPUTED_VALUE"""),8260.82892471973)</f>
        <v>8260.8289247197299</v>
      </c>
    </row>
    <row r="12" spans="1:7" ht="15.75" customHeight="1">
      <c r="D12" s="32"/>
      <c r="E12" s="12">
        <v>3</v>
      </c>
      <c r="F12" s="13">
        <v>2</v>
      </c>
      <c r="G12" s="14">
        <f ca="1">IFERROR(__xludf.DUMMYFUNCTION("""COMPUTED_VALUE"""),16215.6619147742)</f>
        <v>16215.6619147742</v>
      </c>
    </row>
    <row r="13" spans="1:7" ht="15.75" customHeight="1">
      <c r="D13" s="32"/>
      <c r="E13" s="12">
        <v>3</v>
      </c>
      <c r="F13" s="13">
        <v>3</v>
      </c>
      <c r="G13" s="14">
        <f ca="1">IFERROR(__xludf.DUMMYFUNCTION("""COMPUTED_VALUE"""),10767.2672275139)</f>
        <v>10767.267227513899</v>
      </c>
    </row>
    <row r="14" spans="1:7" ht="15.75" customHeight="1">
      <c r="D14" s="32"/>
      <c r="E14" s="12">
        <v>3</v>
      </c>
      <c r="F14" s="13">
        <v>4</v>
      </c>
      <c r="G14" s="14">
        <f ca="1">IFERROR(__xludf.DUMMYFUNCTION("""COMPUTED_VALUE"""),18944.3198782037)</f>
        <v>18944.3198782037</v>
      </c>
    </row>
    <row r="15" spans="1:7" ht="15.75" customHeight="1">
      <c r="D15" s="32"/>
      <c r="E15" s="12">
        <v>4</v>
      </c>
      <c r="F15" s="13">
        <v>1</v>
      </c>
      <c r="G15" s="14">
        <f ca="1">IFERROR(__xludf.DUMMYFUNCTION("""COMPUTED_VALUE"""),10119.1388926823)</f>
        <v>10119.1388926823</v>
      </c>
    </row>
    <row r="16" spans="1:7" ht="15.75" customHeight="1">
      <c r="D16" s="32"/>
      <c r="E16" s="12">
        <v>4</v>
      </c>
      <c r="F16" s="13">
        <v>2</v>
      </c>
      <c r="G16" s="14">
        <f ca="1">IFERROR(__xludf.DUMMYFUNCTION("""COMPUTED_VALUE"""),19669.2232429464)</f>
        <v>19669.223242946398</v>
      </c>
    </row>
    <row r="17" spans="4:7" ht="15.75" customHeight="1">
      <c r="D17" s="32"/>
      <c r="E17" s="12">
        <v>4</v>
      </c>
      <c r="F17" s="13">
        <v>3</v>
      </c>
      <c r="G17" s="14">
        <f ca="1">IFERROR(__xludf.DUMMYFUNCTION("""COMPUTED_VALUE"""),12944.5202254938)</f>
        <v>12944.520225493799</v>
      </c>
    </row>
    <row r="18" spans="4:7" ht="15.75" customHeight="1">
      <c r="D18" s="32"/>
      <c r="E18" s="12">
        <v>4</v>
      </c>
      <c r="F18" s="13">
        <v>4</v>
      </c>
      <c r="G18" s="14">
        <f ca="1">IFERROR(__xludf.DUMMYFUNCTION("""COMPUTED_VALUE"""),22590.7225478699)</f>
        <v>22590.7225478699</v>
      </c>
    </row>
    <row r="19" spans="4:7" ht="15.75" customHeight="1"/>
    <row r="20" spans="4:7" ht="15.75" customHeight="1"/>
    <row r="21" spans="4:7" ht="15.75" customHeight="1"/>
    <row r="22" spans="4:7" ht="15.75" customHeight="1"/>
    <row r="23" spans="4:7" ht="15.75" customHeight="1"/>
    <row r="24" spans="4:7" ht="15.75" customHeight="1"/>
    <row r="25" spans="4:7" ht="15.75" customHeight="1"/>
    <row r="26" spans="4:7" ht="15.75" customHeight="1"/>
    <row r="27" spans="4:7" ht="15.75" customHeight="1"/>
    <row r="28" spans="4:7" ht="15.75" customHeight="1"/>
    <row r="29" spans="4:7" ht="15.75" customHeight="1"/>
    <row r="30" spans="4:7" ht="15.75" customHeight="1"/>
    <row r="31" spans="4:7" ht="15.75" customHeight="1"/>
    <row r="32" spans="4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1:D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2" t="s">
        <v>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25465.989864874267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2</v>
      </c>
      <c r="B1" s="4">
        <v>0.1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(-1)*(ScenarioParameters!$B$5+(ScenarioParameters!$B$5*$B$1))*ScenarioParameters!$G3*(1/1000)</f>
        <v>-393.98815340456002</v>
      </c>
      <c r="G9" s="16">
        <f ca="1">(-1)*(ScenarioParameters!$B$5+(ScenarioParameters!$B$5*$B$1))*ScenarioParameters!$G4*(1/1000)</f>
        <v>-1006.611570234356</v>
      </c>
      <c r="H9" s="16">
        <f ca="1">(-1)*(ScenarioParameters!$B$5+(ScenarioParameters!$B$5*$B$1))*ScenarioParameters!$G5*(1/1000)</f>
        <v>-781.18259706183426</v>
      </c>
      <c r="I9" s="16">
        <f ca="1">(-1)*(ScenarioParameters!$B$5+(ScenarioParameters!$B$5*$B$1))*ScenarioParameters!$G6*(1/1000)</f>
        <v>-1505.5808707723859</v>
      </c>
      <c r="J9" s="16">
        <f ca="1">(-1)*(ScenarioParameters!$B$5+(ScenarioParameters!$B$5*$B$1))*ScenarioParameters!$G7*(1/1000)</f>
        <v>-826.56701790698037</v>
      </c>
      <c r="K9" s="16">
        <f ca="1">(-1)*(ScenarioParameters!$B$5+(ScenarioParameters!$B$5*$B$1))*ScenarioParameters!$G8*(1/1000)</f>
        <v>-1645.6692379683079</v>
      </c>
      <c r="L9" s="16">
        <f ca="1">(-1)*(ScenarioParameters!$B$5+(ScenarioParameters!$B$5*$B$1))*ScenarioParameters!$G9*(1/1000)</f>
        <v>-1111.0054365261758</v>
      </c>
      <c r="M9" s="16">
        <f ca="1">(-1)*(ScenarioParameters!$B$5+(ScenarioParameters!$B$5*$B$1))*ScenarioParameters!$G10*(1/1000)</f>
        <v>-1976.4468810208878</v>
      </c>
      <c r="N9" s="16">
        <f ca="1">(-1)*(ScenarioParameters!$B$5+(ScenarioParameters!$B$5*$B$1))*ScenarioParameters!$G11*(1/1000)</f>
        <v>-1047.5391942858596</v>
      </c>
      <c r="O9" s="16">
        <f ca="1">(-1)*(ScenarioParameters!$B$5+(ScenarioParameters!$B$5*$B$1))*ScenarioParameters!$G12*(1/1000)</f>
        <v>-2056.2756560886869</v>
      </c>
      <c r="P9" s="16">
        <f ca="1">(-1)*(ScenarioParameters!$B$5+(ScenarioParameters!$B$5*$B$1))*ScenarioParameters!$G13*(1/1000)</f>
        <v>-1365.3756225865825</v>
      </c>
      <c r="Q9" s="16">
        <f ca="1">(-1)*(ScenarioParameters!$B$5+(ScenarioParameters!$B$5*$B$1))*ScenarioParameters!$G14*(1/1000)</f>
        <v>-2402.2913151152547</v>
      </c>
      <c r="R9" s="16">
        <f ca="1">(-1)*(ScenarioParameters!$B$5+(ScenarioParameters!$B$5*$B$1))*ScenarioParameters!$G15*(1/1000)</f>
        <v>-1283.1877647032572</v>
      </c>
      <c r="S9" s="16">
        <f ca="1">(-1)*(ScenarioParameters!$B$5+(ScenarioParameters!$B$5*$B$1))*ScenarioParameters!$G16*(1/1000)</f>
        <v>-2494.2148609915471</v>
      </c>
      <c r="T9" s="16">
        <f ca="1">(-1)*(ScenarioParameters!$B$5+(ScenarioParameters!$B$5*$B$1))*ScenarioParameters!$G16*(1/1000)</f>
        <v>-2494.2148609915471</v>
      </c>
      <c r="U9" s="16">
        <f ca="1">(-1)*(ScenarioParameters!$B$5+(ScenarioParameters!$B$5*$B$1))*ScenarioParameters!$G18*(1/1000)</f>
        <v>-2864.6843448502864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-0.126808</v>
      </c>
      <c r="G11" s="16">
        <f t="shared" ca="1" si="1"/>
        <v>-0.126808</v>
      </c>
      <c r="H11" s="16">
        <f t="shared" ca="1" si="1"/>
        <v>-0.126808</v>
      </c>
      <c r="I11" s="16">
        <f t="shared" ca="1" si="1"/>
        <v>-0.12680800000000003</v>
      </c>
      <c r="J11" s="15">
        <f t="shared" ca="1" si="1"/>
        <v>-0.126808</v>
      </c>
      <c r="K11" s="15">
        <f t="shared" ca="1" si="1"/>
        <v>-0.126808</v>
      </c>
      <c r="L11" s="15">
        <f t="shared" ca="1" si="1"/>
        <v>-0.126808</v>
      </c>
      <c r="M11" s="15">
        <f t="shared" ca="1" si="1"/>
        <v>-0.126808</v>
      </c>
      <c r="N11" s="16">
        <f t="shared" ca="1" si="1"/>
        <v>-0.126808</v>
      </c>
      <c r="O11" s="16">
        <f t="shared" ca="1" si="1"/>
        <v>-0.126808</v>
      </c>
      <c r="P11" s="16">
        <f t="shared" ca="1" si="1"/>
        <v>-0.126808</v>
      </c>
      <c r="Q11" s="16">
        <f t="shared" ca="1" si="1"/>
        <v>-0.126808</v>
      </c>
      <c r="R11" s="15">
        <f t="shared" ca="1" si="1"/>
        <v>-0.126808</v>
      </c>
      <c r="S11" s="15">
        <f t="shared" ca="1" si="1"/>
        <v>-0.126808</v>
      </c>
      <c r="T11" s="15">
        <f t="shared" ca="1" si="1"/>
        <v>-0.19268499855863908</v>
      </c>
      <c r="U11" s="15">
        <f t="shared" ca="1" si="1"/>
        <v>-0.126808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321.97070152544006</v>
      </c>
      <c r="G16" s="20">
        <f t="shared" ca="1" si="4"/>
        <v>1156.8732217351762</v>
      </c>
      <c r="H16" s="20">
        <f t="shared" ca="1" si="4"/>
        <v>850.76425582984803</v>
      </c>
      <c r="I16" s="20">
        <f t="shared" ca="1" si="4"/>
        <v>1834.4213401365732</v>
      </c>
      <c r="J16" s="19">
        <f t="shared" ca="1" si="4"/>
        <v>912.39155216893846</v>
      </c>
      <c r="K16" s="19">
        <f t="shared" ca="1" si="4"/>
        <v>2024.6466896744594</v>
      </c>
      <c r="L16" s="19">
        <f t="shared" ca="1" si="4"/>
        <v>1298.6291726572085</v>
      </c>
      <c r="M16" s="19">
        <f t="shared" ca="1" si="4"/>
        <v>2473.8081299030714</v>
      </c>
      <c r="N16" s="20">
        <f t="shared" ca="1" si="4"/>
        <v>1212.4486542053396</v>
      </c>
      <c r="O16" s="20">
        <f t="shared" ca="1" si="4"/>
        <v>2582.2072564287996</v>
      </c>
      <c r="P16" s="20">
        <f t="shared" ca="1" si="4"/>
        <v>1644.0372784400736</v>
      </c>
      <c r="Q16" s="20">
        <f t="shared" ca="1" si="4"/>
        <v>3052.0603284676522</v>
      </c>
      <c r="R16" s="19">
        <f t="shared" ca="1" si="4"/>
        <v>1532.4347642087507</v>
      </c>
      <c r="S16" s="19">
        <f t="shared" ca="1" si="4"/>
        <v>3176.8828886494261</v>
      </c>
      <c r="T16" s="19">
        <f t="shared" ca="1" si="4"/>
        <v>1166.1966864310989</v>
      </c>
      <c r="U16" s="19">
        <f t="shared" ca="1" si="4"/>
        <v>3679.9416969628132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300.38530452854843</v>
      </c>
      <c r="G17" s="20">
        <f ca="1">G16/(1+(ScenarioParameters!$B$8/100)/4)^F3</f>
        <v>1060.7515597737652</v>
      </c>
      <c r="H17" s="20">
        <f ca="1">H16/(1+(ScenarioParameters!$B$8/100)/4)^G3</f>
        <v>766.65986388177316</v>
      </c>
      <c r="I17" s="20">
        <f ca="1">I16/(1+(ScenarioParameters!$B$8/100)/4)^H3</f>
        <v>1624.6438417594484</v>
      </c>
      <c r="J17" s="19">
        <f ca="1">J16/(1+(ScenarioParameters!$B$8/100)/4)^I3</f>
        <v>794.156166199685</v>
      </c>
      <c r="K17" s="19">
        <f ca="1">K16/(1+(ScenarioParameters!$B$8/100)/4)^J3</f>
        <v>1731.9664964285937</v>
      </c>
      <c r="L17" s="19">
        <f ca="1">L16/(1+(ScenarioParameters!$B$8/100)/4)^K3</f>
        <v>1091.7946849411842</v>
      </c>
      <c r="M17" s="19">
        <f ca="1">M16/(1+(ScenarioParameters!$B$8/100)/4)^L3</f>
        <v>2044.030705881127</v>
      </c>
      <c r="N17" s="20">
        <f ca="1">N16/(1+(ScenarioParameters!$B$8/100)/4)^M3</f>
        <v>984.57848429152659</v>
      </c>
      <c r="O17" s="20">
        <f ca="1">O16/(1+(ScenarioParameters!$B$8/100)/4)^N3</f>
        <v>2060.8371022552806</v>
      </c>
      <c r="P17" s="20">
        <f ca="1">P16/(1+(ScenarioParameters!$B$8/100)/4)^O3</f>
        <v>1289.525131056645</v>
      </c>
      <c r="Q17" s="20">
        <f ca="1">Q16/(1+(ScenarioParameters!$B$8/100)/4)^P3</f>
        <v>2352.7557602789316</v>
      </c>
      <c r="R17" s="19">
        <f ca="1">R16/(1+(ScenarioParameters!$B$8/100)/4)^Q3</f>
        <v>1160.9975661244857</v>
      </c>
      <c r="S17" s="19">
        <f ca="1">S16/(1+(ScenarioParameters!$B$8/100)/4)^R3</f>
        <v>2365.4626835525855</v>
      </c>
      <c r="T17" s="19">
        <f ca="1">T16/(1+(ScenarioParameters!$B$8/100)/4)^S3</f>
        <v>853.39929736930105</v>
      </c>
      <c r="U17" s="19">
        <f ca="1">U16/(1+(ScenarioParameters!$B$8/100)/4)^T3</f>
        <v>2646.592015548677</v>
      </c>
    </row>
    <row r="18" spans="1:21" ht="15.75" customHeight="1"/>
    <row r="19" spans="1:21" ht="15.75" customHeight="1">
      <c r="A19" s="2" t="s">
        <v>36</v>
      </c>
      <c r="B19" s="20">
        <f ca="1">SUM(B17:U17)</f>
        <v>23066.72850659255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2</v>
      </c>
      <c r="B1" s="4">
        <v>-0.1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(-1)*(ScenarioParameters!$B$5+(ScenarioParameters!$B$5*$B$1))*ScenarioParameters!$G3*(1/1000)</f>
        <v>-322.35394369463995</v>
      </c>
      <c r="G9" s="16">
        <f ca="1">(-1)*(ScenarioParameters!$B$5+(ScenarioParameters!$B$5*$B$1))*ScenarioParameters!$G4*(1/1000)</f>
        <v>-823.59128473720034</v>
      </c>
      <c r="H9" s="16">
        <f ca="1">(-1)*(ScenarioParameters!$B$5+(ScenarioParameters!$B$5*$B$1))*ScenarioParameters!$G5*(1/1000)</f>
        <v>-639.14939759604624</v>
      </c>
      <c r="I9" s="16">
        <f ca="1">(-1)*(ScenarioParameters!$B$5+(ScenarioParameters!$B$5*$B$1))*ScenarioParameters!$G6*(1/1000)</f>
        <v>-1231.8388942683155</v>
      </c>
      <c r="J9" s="16">
        <f ca="1">(-1)*(ScenarioParameters!$B$5+(ScenarioParameters!$B$5*$B$1))*ScenarioParameters!$G7*(1/1000)</f>
        <v>-676.28210556025658</v>
      </c>
      <c r="K9" s="16">
        <f ca="1">(-1)*(ScenarioParameters!$B$5+(ScenarioParameters!$B$5*$B$1))*ScenarioParameters!$G8*(1/1000)</f>
        <v>-1346.4566492467973</v>
      </c>
      <c r="L9" s="16">
        <f ca="1">(-1)*(ScenarioParameters!$B$5+(ScenarioParameters!$B$5*$B$1))*ScenarioParameters!$G9*(1/1000)</f>
        <v>-909.00444806687108</v>
      </c>
      <c r="M9" s="16">
        <f ca="1">(-1)*(ScenarioParameters!$B$5+(ScenarioParameters!$B$5*$B$1))*ScenarioParameters!$G10*(1/1000)</f>
        <v>-1617.0929026534534</v>
      </c>
      <c r="N9" s="16">
        <f ca="1">(-1)*(ScenarioParameters!$B$5+(ScenarioParameters!$B$5*$B$1))*ScenarioParameters!$G11*(1/1000)</f>
        <v>-857.07752259752147</v>
      </c>
      <c r="O9" s="16">
        <f ca="1">(-1)*(ScenarioParameters!$B$5+(ScenarioParameters!$B$5*$B$1))*ScenarioParameters!$G12*(1/1000)</f>
        <v>-1682.4073549816528</v>
      </c>
      <c r="P9" s="16">
        <f ca="1">(-1)*(ScenarioParameters!$B$5+(ScenarioParameters!$B$5*$B$1))*ScenarioParameters!$G13*(1/1000)</f>
        <v>-1117.1255093890222</v>
      </c>
      <c r="Q9" s="16">
        <f ca="1">(-1)*(ScenarioParameters!$B$5+(ScenarioParameters!$B$5*$B$1))*ScenarioParameters!$G14*(1/1000)</f>
        <v>-1965.5110760033901</v>
      </c>
      <c r="R9" s="16">
        <f ca="1">(-1)*(ScenarioParameters!$B$5+(ScenarioParameters!$B$5*$B$1))*ScenarioParameters!$G15*(1/1000)</f>
        <v>-1049.8808983935739</v>
      </c>
      <c r="S9" s="16">
        <f ca="1">(-1)*(ScenarioParameters!$B$5+(ScenarioParameters!$B$5*$B$1))*ScenarioParameters!$G16*(1/1000)</f>
        <v>-2040.7212499021746</v>
      </c>
      <c r="T9" s="16">
        <f ca="1">(-1)*(ScenarioParameters!$B$5+(ScenarioParameters!$B$5*$B$1))*ScenarioParameters!$G16*(1/1000)</f>
        <v>-2040.7212499021746</v>
      </c>
      <c r="U9" s="16">
        <f ca="1">(-1)*(ScenarioParameters!$B$5+(ScenarioParameters!$B$5*$B$1))*ScenarioParameters!$G18*(1/1000)</f>
        <v>-2343.8326457865978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-0.10375199999999998</v>
      </c>
      <c r="G11" s="16">
        <f t="shared" ca="1" si="1"/>
        <v>-0.103752</v>
      </c>
      <c r="H11" s="16">
        <f t="shared" ca="1" si="1"/>
        <v>-0.10375200000000001</v>
      </c>
      <c r="I11" s="16">
        <f t="shared" ca="1" si="1"/>
        <v>-0.103752</v>
      </c>
      <c r="J11" s="15">
        <f t="shared" ca="1" si="1"/>
        <v>-0.103752</v>
      </c>
      <c r="K11" s="15">
        <f t="shared" ca="1" si="1"/>
        <v>-0.103752</v>
      </c>
      <c r="L11" s="15">
        <f t="shared" ca="1" si="1"/>
        <v>-0.103752</v>
      </c>
      <c r="M11" s="15">
        <f t="shared" ca="1" si="1"/>
        <v>-0.103752</v>
      </c>
      <c r="N11" s="16">
        <f t="shared" ca="1" si="1"/>
        <v>-0.10375200000000001</v>
      </c>
      <c r="O11" s="16">
        <f t="shared" ca="1" si="1"/>
        <v>-0.103752</v>
      </c>
      <c r="P11" s="16">
        <f t="shared" ca="1" si="1"/>
        <v>-0.10375200000000001</v>
      </c>
      <c r="Q11" s="16">
        <f t="shared" ca="1" si="1"/>
        <v>-0.103752</v>
      </c>
      <c r="R11" s="15">
        <f t="shared" ca="1" si="1"/>
        <v>-0.103752</v>
      </c>
      <c r="S11" s="15">
        <f t="shared" ca="1" si="1"/>
        <v>-0.103752</v>
      </c>
      <c r="T11" s="15">
        <f t="shared" ca="1" si="1"/>
        <v>-0.15765136245706832</v>
      </c>
      <c r="U11" s="15">
        <f t="shared" ca="1" si="1"/>
        <v>-0.103752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393.60491123536008</v>
      </c>
      <c r="G16" s="20">
        <f t="shared" ca="1" si="4"/>
        <v>1339.8935072323318</v>
      </c>
      <c r="H16" s="20">
        <f t="shared" ca="1" si="4"/>
        <v>992.79745529563604</v>
      </c>
      <c r="I16" s="20">
        <f t="shared" ca="1" si="4"/>
        <v>2108.1633166406436</v>
      </c>
      <c r="J16" s="19">
        <f t="shared" ca="1" si="4"/>
        <v>1062.6764645156622</v>
      </c>
      <c r="K16" s="19">
        <f t="shared" ca="1" si="4"/>
        <v>2323.8592783959703</v>
      </c>
      <c r="L16" s="19">
        <f t="shared" ca="1" si="4"/>
        <v>1500.6301611165131</v>
      </c>
      <c r="M16" s="19">
        <f t="shared" ca="1" si="4"/>
        <v>2833.162108270506</v>
      </c>
      <c r="N16" s="20">
        <f t="shared" ca="1" si="4"/>
        <v>1402.9103258936777</v>
      </c>
      <c r="O16" s="20">
        <f t="shared" ca="1" si="4"/>
        <v>2956.0755575358335</v>
      </c>
      <c r="P16" s="20">
        <f t="shared" ca="1" si="4"/>
        <v>1892.2873916376338</v>
      </c>
      <c r="Q16" s="20">
        <f t="shared" ca="1" si="4"/>
        <v>3488.8405675795166</v>
      </c>
      <c r="R16" s="19">
        <f t="shared" ca="1" si="4"/>
        <v>1765.741630518434</v>
      </c>
      <c r="S16" s="19">
        <f t="shared" ca="1" si="4"/>
        <v>3630.3764997387989</v>
      </c>
      <c r="T16" s="19">
        <f t="shared" ca="1" si="4"/>
        <v>1619.6902975204716</v>
      </c>
      <c r="U16" s="19">
        <f t="shared" ca="1" si="4"/>
        <v>4200.7933960265018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367.21704976632446</v>
      </c>
      <c r="G17" s="20">
        <f ca="1">G16/(1+(ScenarioParameters!$B$8/100)/4)^F3</f>
        <v>1228.565153920375</v>
      </c>
      <c r="H17" s="20">
        <f ca="1">H16/(1+(ScenarioParameters!$B$8/100)/4)^G3</f>
        <v>894.65202225344774</v>
      </c>
      <c r="I17" s="20">
        <f ca="1">I16/(1+(ScenarioParameters!$B$8/100)/4)^H3</f>
        <v>1867.0817193766413</v>
      </c>
      <c r="J17" s="19">
        <f ca="1">J16/(1+(ScenarioParameters!$B$8/100)/4)^I3</f>
        <v>924.96589316746724</v>
      </c>
      <c r="K17" s="19">
        <f ca="1">K16/(1+(ScenarioParameters!$B$8/100)/4)^J3</f>
        <v>1987.9253171049311</v>
      </c>
      <c r="L17" s="19">
        <f ca="1">L16/(1+(ScenarioParameters!$B$8/100)/4)^K3</f>
        <v>1261.6226929640331</v>
      </c>
      <c r="M17" s="19">
        <f ca="1">M16/(1+(ScenarioParameters!$B$8/100)/4)^L3</f>
        <v>2340.953719911467</v>
      </c>
      <c r="N17" s="20">
        <f ca="1">N16/(1+(ScenarioParameters!$B$8/100)/4)^M3</f>
        <v>1139.2443857102066</v>
      </c>
      <c r="O17" s="20">
        <f ca="1">O16/(1+(ScenarioParameters!$B$8/100)/4)^N3</f>
        <v>2359.2181343588395</v>
      </c>
      <c r="P17" s="20">
        <f ca="1">P16/(1+(ScenarioParameters!$B$8/100)/4)^O3</f>
        <v>1484.2438055989021</v>
      </c>
      <c r="Q17" s="20">
        <f ca="1">Q16/(1+(ScenarioParameters!$B$8/100)/4)^P3</f>
        <v>2689.4585488710545</v>
      </c>
      <c r="R17" s="19">
        <f ca="1">R16/(1+(ScenarioParameters!$B$8/100)/4)^Q3</f>
        <v>1337.7546524762379</v>
      </c>
      <c r="S17" s="19">
        <f ca="1">S16/(1+(ScenarioParameters!$B$8/100)/4)^R3</f>
        <v>2703.1277004451226</v>
      </c>
      <c r="T17" s="19">
        <f ca="1">T16/(1+(ScenarioParameters!$B$8/100)/4)^S3</f>
        <v>1185.2568078287968</v>
      </c>
      <c r="U17" s="19">
        <f ca="1">U16/(1+(ScenarioParameters!$B$8/100)/4)^T3</f>
        <v>3021.1854361902679</v>
      </c>
    </row>
    <row r="18" spans="1:21" ht="15.75" customHeight="1"/>
    <row r="19" spans="1:21" ht="15.75" customHeight="1">
      <c r="A19" s="2" t="s">
        <v>36</v>
      </c>
      <c r="B19" s="20">
        <f ca="1">SUM(B17:U17)</f>
        <v>26730.664882665107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2</v>
      </c>
      <c r="B1" s="4">
        <v>0.2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(-1)*(ScenarioParameters!$B$5+(ScenarioParameters!$B$5*$B$1))*ScenarioParameters!$G3*(1/1000)</f>
        <v>-429.80525825952009</v>
      </c>
      <c r="G9" s="16">
        <f ca="1">(-1)*(ScenarioParameters!$B$5+(ScenarioParameters!$B$5*$B$1))*ScenarioParameters!$G4*(1/1000)</f>
        <v>-1098.121712982934</v>
      </c>
      <c r="H9" s="16">
        <f ca="1">(-1)*(ScenarioParameters!$B$5+(ScenarioParameters!$B$5*$B$1))*ScenarioParameters!$G5*(1/1000)</f>
        <v>-852.19919679472844</v>
      </c>
      <c r="I9" s="16">
        <f ca="1">(-1)*(ScenarioParameters!$B$5+(ScenarioParameters!$B$5*$B$1))*ScenarioParameters!$G6*(1/1000)</f>
        <v>-1642.4518590244209</v>
      </c>
      <c r="J9" s="16">
        <f ca="1">(-1)*(ScenarioParameters!$B$5+(ScenarioParameters!$B$5*$B$1))*ScenarioParameters!$G7*(1/1000)</f>
        <v>-901.70947408034226</v>
      </c>
      <c r="K9" s="16">
        <f ca="1">(-1)*(ScenarioParameters!$B$5+(ScenarioParameters!$B$5*$B$1))*ScenarioParameters!$G8*(1/1000)</f>
        <v>-1795.2755323290635</v>
      </c>
      <c r="L9" s="16">
        <f ca="1">(-1)*(ScenarioParameters!$B$5+(ScenarioParameters!$B$5*$B$1))*ScenarioParameters!$G9*(1/1000)</f>
        <v>-1212.0059307558283</v>
      </c>
      <c r="M9" s="16">
        <f ca="1">(-1)*(ScenarioParameters!$B$5+(ScenarioParameters!$B$5*$B$1))*ScenarioParameters!$G10*(1/1000)</f>
        <v>-2156.1238702046048</v>
      </c>
      <c r="N9" s="16">
        <f ca="1">(-1)*(ScenarioParameters!$B$5+(ScenarioParameters!$B$5*$B$1))*ScenarioParameters!$G11*(1/1000)</f>
        <v>-1142.7700301300288</v>
      </c>
      <c r="O9" s="16">
        <f ca="1">(-1)*(ScenarioParameters!$B$5+(ScenarioParameters!$B$5*$B$1))*ScenarioParameters!$G12*(1/1000)</f>
        <v>-2243.2098066422041</v>
      </c>
      <c r="P9" s="16">
        <f ca="1">(-1)*(ScenarioParameters!$B$5+(ScenarioParameters!$B$5*$B$1))*ScenarioParameters!$G13*(1/1000)</f>
        <v>-1489.500679185363</v>
      </c>
      <c r="Q9" s="16">
        <f ca="1">(-1)*(ScenarioParameters!$B$5+(ScenarioParameters!$B$5*$B$1))*ScenarioParameters!$G14*(1/1000)</f>
        <v>-2620.6814346711872</v>
      </c>
      <c r="R9" s="16">
        <f ca="1">(-1)*(ScenarioParameters!$B$5+(ScenarioParameters!$B$5*$B$1))*ScenarioParameters!$G15*(1/1000)</f>
        <v>-1399.8411978580989</v>
      </c>
      <c r="S9" s="16">
        <f ca="1">(-1)*(ScenarioParameters!$B$5+(ScenarioParameters!$B$5*$B$1))*ScenarioParameters!$G16*(1/1000)</f>
        <v>-2720.9616665362332</v>
      </c>
      <c r="T9" s="16">
        <f ca="1">(-1)*(ScenarioParameters!$B$5+(ScenarioParameters!$B$5*$B$1))*ScenarioParameters!$G16*(1/1000)</f>
        <v>-2720.9616665362332</v>
      </c>
      <c r="U9" s="16">
        <f ca="1">(-1)*(ScenarioParameters!$B$5+(ScenarioParameters!$B$5*$B$1))*ScenarioParameters!$G18*(1/1000)</f>
        <v>-3125.1101943821309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-0.13833600000000004</v>
      </c>
      <c r="G11" s="16">
        <f t="shared" ca="1" si="1"/>
        <v>-0.13833600000000001</v>
      </c>
      <c r="H11" s="16">
        <f t="shared" ca="1" si="1"/>
        <v>-0.13833600000000001</v>
      </c>
      <c r="I11" s="16">
        <f t="shared" ca="1" si="1"/>
        <v>-0.13833600000000001</v>
      </c>
      <c r="J11" s="15">
        <f t="shared" ca="1" si="1"/>
        <v>-0.13833600000000001</v>
      </c>
      <c r="K11" s="15">
        <f t="shared" ca="1" si="1"/>
        <v>-0.13833600000000001</v>
      </c>
      <c r="L11" s="15">
        <f t="shared" ca="1" si="1"/>
        <v>-0.13833600000000001</v>
      </c>
      <c r="M11" s="15">
        <f t="shared" ca="1" si="1"/>
        <v>-0.13833600000000001</v>
      </c>
      <c r="N11" s="16">
        <f t="shared" ca="1" si="1"/>
        <v>-0.13833600000000001</v>
      </c>
      <c r="O11" s="16">
        <f t="shared" ca="1" si="1"/>
        <v>-0.13833600000000001</v>
      </c>
      <c r="P11" s="16">
        <f t="shared" ca="1" si="1"/>
        <v>-0.13833600000000001</v>
      </c>
      <c r="Q11" s="16">
        <f t="shared" ca="1" si="1"/>
        <v>-0.13833600000000001</v>
      </c>
      <c r="R11" s="15">
        <f t="shared" ca="1" si="1"/>
        <v>-0.13833600000000001</v>
      </c>
      <c r="S11" s="15">
        <f t="shared" ca="1" si="1"/>
        <v>-0.13833600000000001</v>
      </c>
      <c r="T11" s="15">
        <f t="shared" ca="1" si="1"/>
        <v>-0.21020181660942444</v>
      </c>
      <c r="U11" s="15">
        <f t="shared" ca="1" si="1"/>
        <v>-0.13833600000000001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286.15359667047994</v>
      </c>
      <c r="G16" s="20">
        <f t="shared" ca="1" si="4"/>
        <v>1065.3630789865981</v>
      </c>
      <c r="H16" s="20">
        <f t="shared" ca="1" si="4"/>
        <v>779.74765609695396</v>
      </c>
      <c r="I16" s="20">
        <f t="shared" ca="1" si="4"/>
        <v>1697.5503518845383</v>
      </c>
      <c r="J16" s="19">
        <f t="shared" ca="1" si="4"/>
        <v>837.24909599557645</v>
      </c>
      <c r="K16" s="19">
        <f t="shared" ca="1" si="4"/>
        <v>1875.0403953137038</v>
      </c>
      <c r="L16" s="19">
        <f t="shared" ca="1" si="4"/>
        <v>1197.628678427556</v>
      </c>
      <c r="M16" s="19">
        <f t="shared" ca="1" si="4"/>
        <v>2294.1311407193543</v>
      </c>
      <c r="N16" s="20">
        <f t="shared" ca="1" si="4"/>
        <v>1117.2178183611704</v>
      </c>
      <c r="O16" s="20">
        <f t="shared" ca="1" si="4"/>
        <v>2395.2731058752825</v>
      </c>
      <c r="P16" s="20">
        <f t="shared" ca="1" si="4"/>
        <v>1519.9122218412931</v>
      </c>
      <c r="Q16" s="20">
        <f t="shared" ca="1" si="4"/>
        <v>2833.6702089117198</v>
      </c>
      <c r="R16" s="19">
        <f t="shared" ca="1" si="4"/>
        <v>1415.7813310539091</v>
      </c>
      <c r="S16" s="19">
        <f t="shared" ca="1" si="4"/>
        <v>2950.13608310474</v>
      </c>
      <c r="T16" s="19">
        <f t="shared" ca="1" si="4"/>
        <v>939.44988088641276</v>
      </c>
      <c r="U16" s="19">
        <f t="shared" ca="1" si="4"/>
        <v>3419.5158474309687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266.96943190966033</v>
      </c>
      <c r="G17" s="20">
        <f ca="1">G16/(1+(ScenarioParameters!$B$8/100)/4)^F3</f>
        <v>976.84476270046014</v>
      </c>
      <c r="H17" s="20">
        <f ca="1">H16/(1+(ScenarioParameters!$B$8/100)/4)^G3</f>
        <v>702.66378469593587</v>
      </c>
      <c r="I17" s="20">
        <f ca="1">I16/(1+(ScenarioParameters!$B$8/100)/4)^H3</f>
        <v>1503.4249029508521</v>
      </c>
      <c r="J17" s="19">
        <f ca="1">J16/(1+(ScenarioParameters!$B$8/100)/4)^I3</f>
        <v>728.75130271579371</v>
      </c>
      <c r="K17" s="19">
        <f ca="1">K16/(1+(ScenarioParameters!$B$8/100)/4)^J3</f>
        <v>1603.987086090425</v>
      </c>
      <c r="L17" s="19">
        <f ca="1">L16/(1+(ScenarioParameters!$B$8/100)/4)^K3</f>
        <v>1006.8806809297595</v>
      </c>
      <c r="M17" s="19">
        <f ca="1">M16/(1+(ScenarioParameters!$B$8/100)/4)^L3</f>
        <v>1895.5691988659573</v>
      </c>
      <c r="N17" s="20">
        <f ca="1">N16/(1+(ScenarioParameters!$B$8/100)/4)^M3</f>
        <v>907.24553358218657</v>
      </c>
      <c r="O17" s="20">
        <f ca="1">O16/(1+(ScenarioParameters!$B$8/100)/4)^N3</f>
        <v>1911.6465862035009</v>
      </c>
      <c r="P17" s="20">
        <f ca="1">P16/(1+(ScenarioParameters!$B$8/100)/4)^O3</f>
        <v>1192.1657937855161</v>
      </c>
      <c r="Q17" s="20">
        <f ca="1">Q16/(1+(ScenarioParameters!$B$8/100)/4)^P3</f>
        <v>2184.4043659828703</v>
      </c>
      <c r="R17" s="19">
        <f ca="1">R16/(1+(ScenarioParameters!$B$8/100)/4)^Q3</f>
        <v>1072.6190229486097</v>
      </c>
      <c r="S17" s="19">
        <f ca="1">S16/(1+(ScenarioParameters!$B$8/100)/4)^R3</f>
        <v>2196.6301751063174</v>
      </c>
      <c r="T17" s="19">
        <f ca="1">T16/(1+(ScenarioParameters!$B$8/100)/4)^S3</f>
        <v>687.47054213955334</v>
      </c>
      <c r="U17" s="19">
        <f ca="1">U16/(1+(ScenarioParameters!$B$8/100)/4)^T3</f>
        <v>2459.2953052278813</v>
      </c>
    </row>
    <row r="18" spans="1:21" ht="15.75" customHeight="1"/>
    <row r="19" spans="1:21" ht="15.75" customHeight="1">
      <c r="A19" s="2" t="s">
        <v>36</v>
      </c>
      <c r="B19" s="20">
        <f ca="1">SUM(B17:U17)</f>
        <v>21234.760318556269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2</v>
      </c>
      <c r="B1" s="4">
        <v>-0.2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(-1)*(ScenarioParameters!$B$5+(ScenarioParameters!$B$5*$B$1))*ScenarioParameters!$G3*(1/1000)</f>
        <v>-286.53683883968</v>
      </c>
      <c r="G9" s="16">
        <f ca="1">(-1)*(ScenarioParameters!$B$5+(ScenarioParameters!$B$5*$B$1))*ScenarioParameters!$G4*(1/1000)</f>
        <v>-732.08114198862268</v>
      </c>
      <c r="H9" s="16">
        <f ca="1">(-1)*(ScenarioParameters!$B$5+(ScenarioParameters!$B$5*$B$1))*ScenarioParameters!$G5*(1/1000)</f>
        <v>-568.13279786315229</v>
      </c>
      <c r="I9" s="16">
        <f ca="1">(-1)*(ScenarioParameters!$B$5+(ScenarioParameters!$B$5*$B$1))*ScenarioParameters!$G6*(1/1000)</f>
        <v>-1094.9679060162805</v>
      </c>
      <c r="J9" s="16">
        <f ca="1">(-1)*(ScenarioParameters!$B$5+(ScenarioParameters!$B$5*$B$1))*ScenarioParameters!$G7*(1/1000)</f>
        <v>-601.1396493868948</v>
      </c>
      <c r="K9" s="16">
        <f ca="1">(-1)*(ScenarioParameters!$B$5+(ScenarioParameters!$B$5*$B$1))*ScenarioParameters!$G8*(1/1000)</f>
        <v>-1196.8503548860422</v>
      </c>
      <c r="L9" s="16">
        <f ca="1">(-1)*(ScenarioParameters!$B$5+(ScenarioParameters!$B$5*$B$1))*ScenarioParameters!$G9*(1/1000)</f>
        <v>-808.00395383721877</v>
      </c>
      <c r="M9" s="16">
        <f ca="1">(-1)*(ScenarioParameters!$B$5+(ScenarioParameters!$B$5*$B$1))*ScenarioParameters!$G10*(1/1000)</f>
        <v>-1437.4159134697366</v>
      </c>
      <c r="N9" s="16">
        <f ca="1">(-1)*(ScenarioParameters!$B$5+(ScenarioParameters!$B$5*$B$1))*ScenarioParameters!$G11*(1/1000)</f>
        <v>-761.8466867533524</v>
      </c>
      <c r="O9" s="16">
        <f ca="1">(-1)*(ScenarioParameters!$B$5+(ScenarioParameters!$B$5*$B$1))*ScenarioParameters!$G12*(1/1000)</f>
        <v>-1495.4732044281359</v>
      </c>
      <c r="P9" s="16">
        <f ca="1">(-1)*(ScenarioParameters!$B$5+(ScenarioParameters!$B$5*$B$1))*ScenarioParameters!$G13*(1/1000)</f>
        <v>-993.00045279024198</v>
      </c>
      <c r="Q9" s="16">
        <f ca="1">(-1)*(ScenarioParameters!$B$5+(ScenarioParameters!$B$5*$B$1))*ScenarioParameters!$G14*(1/1000)</f>
        <v>-1747.1209564474582</v>
      </c>
      <c r="R9" s="16">
        <f ca="1">(-1)*(ScenarioParameters!$B$5+(ScenarioParameters!$B$5*$B$1))*ScenarioParameters!$G15*(1/1000)</f>
        <v>-933.22746523873252</v>
      </c>
      <c r="S9" s="16">
        <f ca="1">(-1)*(ScenarioParameters!$B$5+(ScenarioParameters!$B$5*$B$1))*ScenarioParameters!$G16*(1/1000)</f>
        <v>-1813.9744443574889</v>
      </c>
      <c r="T9" s="16">
        <f ca="1">(-1)*(ScenarioParameters!$B$5+(ScenarioParameters!$B$5*$B$1))*ScenarioParameters!$G16*(1/1000)</f>
        <v>-1813.9744443574889</v>
      </c>
      <c r="U9" s="16">
        <f ca="1">(-1)*(ScenarioParameters!$B$5+(ScenarioParameters!$B$5*$B$1))*ScenarioParameters!$G18*(1/1000)</f>
        <v>-2083.4067962547538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-9.2224E-2</v>
      </c>
      <c r="G11" s="16">
        <f t="shared" ca="1" si="1"/>
        <v>-9.2224000000000014E-2</v>
      </c>
      <c r="H11" s="16">
        <f t="shared" ca="1" si="1"/>
        <v>-9.2224000000000014E-2</v>
      </c>
      <c r="I11" s="16">
        <f t="shared" ca="1" si="1"/>
        <v>-9.2224E-2</v>
      </c>
      <c r="J11" s="15">
        <f t="shared" ca="1" si="1"/>
        <v>-9.2224000000000014E-2</v>
      </c>
      <c r="K11" s="15">
        <f t="shared" ca="1" si="1"/>
        <v>-9.2224E-2</v>
      </c>
      <c r="L11" s="15">
        <f t="shared" ca="1" si="1"/>
        <v>-9.2224E-2</v>
      </c>
      <c r="M11" s="15">
        <f t="shared" ca="1" si="1"/>
        <v>-9.2224E-2</v>
      </c>
      <c r="N11" s="16">
        <f t="shared" ca="1" si="1"/>
        <v>-9.2224E-2</v>
      </c>
      <c r="O11" s="16">
        <f t="shared" ca="1" si="1"/>
        <v>-9.2224E-2</v>
      </c>
      <c r="P11" s="16">
        <f t="shared" ca="1" si="1"/>
        <v>-9.2224000000000014E-2</v>
      </c>
      <c r="Q11" s="16">
        <f t="shared" ca="1" si="1"/>
        <v>-9.2224000000000014E-2</v>
      </c>
      <c r="R11" s="15">
        <f t="shared" ca="1" si="1"/>
        <v>-9.2224E-2</v>
      </c>
      <c r="S11" s="15">
        <f t="shared" ca="1" si="1"/>
        <v>-9.2224000000000014E-2</v>
      </c>
      <c r="T11" s="15">
        <f t="shared" ca="1" si="1"/>
        <v>-0.14013454440628298</v>
      </c>
      <c r="U11" s="15">
        <f t="shared" ca="1" si="1"/>
        <v>-9.2224E-2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429.42201609032003</v>
      </c>
      <c r="G16" s="20">
        <f t="shared" ca="1" si="4"/>
        <v>1431.4036499809094</v>
      </c>
      <c r="H16" s="20">
        <f t="shared" ca="1" si="4"/>
        <v>1063.81405502853</v>
      </c>
      <c r="I16" s="20">
        <f t="shared" ca="1" si="4"/>
        <v>2245.0343048926788</v>
      </c>
      <c r="J16" s="19">
        <f t="shared" ca="1" si="4"/>
        <v>1137.8189206890238</v>
      </c>
      <c r="K16" s="19">
        <f t="shared" ca="1" si="4"/>
        <v>2473.4655727567251</v>
      </c>
      <c r="L16" s="19">
        <f t="shared" ca="1" si="4"/>
        <v>1601.6306553461654</v>
      </c>
      <c r="M16" s="19">
        <f t="shared" ca="1" si="4"/>
        <v>3012.8390974542226</v>
      </c>
      <c r="N16" s="20">
        <f t="shared" ca="1" si="4"/>
        <v>1498.1411617378467</v>
      </c>
      <c r="O16" s="20">
        <f t="shared" ca="1" si="4"/>
        <v>3143.0097080893506</v>
      </c>
      <c r="P16" s="20">
        <f t="shared" ca="1" si="4"/>
        <v>2016.4124482364141</v>
      </c>
      <c r="Q16" s="20">
        <f t="shared" ca="1" si="4"/>
        <v>3707.2306871354485</v>
      </c>
      <c r="R16" s="19">
        <f t="shared" ca="1" si="4"/>
        <v>1882.3950636732754</v>
      </c>
      <c r="S16" s="19">
        <f t="shared" ca="1" si="4"/>
        <v>3857.1233052834841</v>
      </c>
      <c r="T16" s="19">
        <f t="shared" ca="1" si="4"/>
        <v>1846.4371030651571</v>
      </c>
      <c r="U16" s="19">
        <f t="shared" ca="1" si="4"/>
        <v>4461.2192455583463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400.6329223852124</v>
      </c>
      <c r="G17" s="20">
        <f ca="1">G16/(1+(ScenarioParameters!$B$8/100)/4)^F3</f>
        <v>1312.4719509936797</v>
      </c>
      <c r="H17" s="20">
        <f ca="1">H16/(1+(ScenarioParameters!$B$8/100)/4)^G3</f>
        <v>958.64810143928503</v>
      </c>
      <c r="I17" s="20">
        <f ca="1">I16/(1+(ScenarioParameters!$B$8/100)/4)^H3</f>
        <v>1988.3006581852378</v>
      </c>
      <c r="J17" s="19">
        <f ca="1">J16/(1+(ScenarioParameters!$B$8/100)/4)^I3</f>
        <v>990.37075665135796</v>
      </c>
      <c r="K17" s="19">
        <f ca="1">K16/(1+(ScenarioParameters!$B$8/100)/4)^J3</f>
        <v>2115.9047274430995</v>
      </c>
      <c r="L17" s="19">
        <f ca="1">L16/(1+(ScenarioParameters!$B$8/100)/4)^K3</f>
        <v>1346.5366969754577</v>
      </c>
      <c r="M17" s="19">
        <f ca="1">M16/(1+(ScenarioParameters!$B$8/100)/4)^L3</f>
        <v>2489.4152269266365</v>
      </c>
      <c r="N17" s="20">
        <f ca="1">N16/(1+(ScenarioParameters!$B$8/100)/4)^M3</f>
        <v>1216.5773364195466</v>
      </c>
      <c r="O17" s="20">
        <f ca="1">O16/(1+(ScenarioParameters!$B$8/100)/4)^N3</f>
        <v>2508.408650410619</v>
      </c>
      <c r="P17" s="20">
        <f ca="1">P16/(1+(ScenarioParameters!$B$8/100)/4)^O3</f>
        <v>1581.6031428700308</v>
      </c>
      <c r="Q17" s="20">
        <f ca="1">Q16/(1+(ScenarioParameters!$B$8/100)/4)^P3</f>
        <v>2857.8099431671153</v>
      </c>
      <c r="R17" s="19">
        <f ca="1">R16/(1+(ScenarioParameters!$B$8/100)/4)^Q3</f>
        <v>1426.1331956521137</v>
      </c>
      <c r="S17" s="19">
        <f ca="1">S16/(1+(ScenarioParameters!$B$8/100)/4)^R3</f>
        <v>2871.9602088913903</v>
      </c>
      <c r="T17" s="19">
        <f ca="1">T16/(1+(ScenarioParameters!$B$8/100)/4)^S3</f>
        <v>1351.1855630585442</v>
      </c>
      <c r="U17" s="19">
        <f ca="1">U16/(1+(ScenarioParameters!$B$8/100)/4)^T3</f>
        <v>3208.4821465110631</v>
      </c>
    </row>
    <row r="18" spans="1:21" ht="15.75" customHeight="1"/>
    <row r="19" spans="1:21" ht="15.75" customHeight="1">
      <c r="A19" s="2" t="s">
        <v>36</v>
      </c>
      <c r="B19" s="20">
        <f ca="1">SUM(B17:U17)</f>
        <v>28562.633070701377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2</v>
      </c>
      <c r="B1" s="4">
        <v>0.3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(-1)*(ScenarioParameters!$B$5+(ScenarioParameters!$B$5*$B$1))*ScenarioParameters!$G3*(1/1000)</f>
        <v>-465.62236311447998</v>
      </c>
      <c r="G9" s="16">
        <f ca="1">(-1)*(ScenarioParameters!$B$5+(ScenarioParameters!$B$5*$B$1))*ScenarioParameters!$G4*(1/1000)</f>
        <v>-1189.6318557315117</v>
      </c>
      <c r="H9" s="16">
        <f ca="1">(-1)*(ScenarioParameters!$B$5+(ScenarioParameters!$B$5*$B$1))*ScenarioParameters!$G5*(1/1000)</f>
        <v>-923.21579652762227</v>
      </c>
      <c r="I9" s="16">
        <f ca="1">(-1)*(ScenarioParameters!$B$5+(ScenarioParameters!$B$5*$B$1))*ScenarioParameters!$G6*(1/1000)</f>
        <v>-1779.3228472764558</v>
      </c>
      <c r="J9" s="16">
        <f ca="1">(-1)*(ScenarioParameters!$B$5+(ScenarioParameters!$B$5*$B$1))*ScenarioParameters!$G7*(1/1000)</f>
        <v>-976.85193025370393</v>
      </c>
      <c r="K9" s="16">
        <f ca="1">(-1)*(ScenarioParameters!$B$5+(ScenarioParameters!$B$5*$B$1))*ScenarioParameters!$G8*(1/1000)</f>
        <v>-1944.8818266898184</v>
      </c>
      <c r="L9" s="16">
        <f ca="1">(-1)*(ScenarioParameters!$B$5+(ScenarioParameters!$B$5*$B$1))*ScenarioParameters!$G9*(1/1000)</f>
        <v>-1313.0064249854806</v>
      </c>
      <c r="M9" s="16">
        <f ca="1">(-1)*(ScenarioParameters!$B$5+(ScenarioParameters!$B$5*$B$1))*ScenarioParameters!$G10*(1/1000)</f>
        <v>-2335.8008593883219</v>
      </c>
      <c r="N9" s="16">
        <f ca="1">(-1)*(ScenarioParameters!$B$5+(ScenarioParameters!$B$5*$B$1))*ScenarioParameters!$G11*(1/1000)</f>
        <v>-1238.0008659741977</v>
      </c>
      <c r="O9" s="16">
        <f ca="1">(-1)*(ScenarioParameters!$B$5+(ScenarioParameters!$B$5*$B$1))*ScenarioParameters!$G12*(1/1000)</f>
        <v>-2430.1439571957208</v>
      </c>
      <c r="P9" s="16">
        <f ca="1">(-1)*(ScenarioParameters!$B$5+(ScenarioParameters!$B$5*$B$1))*ScenarioParameters!$G13*(1/1000)</f>
        <v>-1613.625735784143</v>
      </c>
      <c r="Q9" s="16">
        <f ca="1">(-1)*(ScenarioParameters!$B$5+(ScenarioParameters!$B$5*$B$1))*ScenarioParameters!$G14*(1/1000)</f>
        <v>-2839.0715542271196</v>
      </c>
      <c r="R9" s="16">
        <f ca="1">(-1)*(ScenarioParameters!$B$5+(ScenarioParameters!$B$5*$B$1))*ScenarioParameters!$G15*(1/1000)</f>
        <v>-1516.4946310129403</v>
      </c>
      <c r="S9" s="16">
        <f ca="1">(-1)*(ScenarioParameters!$B$5+(ScenarioParameters!$B$5*$B$1))*ScenarioParameters!$G16*(1/1000)</f>
        <v>-2947.7084720809189</v>
      </c>
      <c r="T9" s="16">
        <f ca="1">(-1)*(ScenarioParameters!$B$5+(ScenarioParameters!$B$5*$B$1))*ScenarioParameters!$G16*(1/1000)</f>
        <v>-2947.7084720809189</v>
      </c>
      <c r="U9" s="16">
        <f ca="1">(-1)*(ScenarioParameters!$B$5+(ScenarioParameters!$B$5*$B$1))*ScenarioParameters!$G18*(1/1000)</f>
        <v>-3385.5360439139749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-0.149864</v>
      </c>
      <c r="G11" s="16">
        <f t="shared" ca="1" si="1"/>
        <v>-0.149864</v>
      </c>
      <c r="H11" s="16">
        <f t="shared" ca="1" si="1"/>
        <v>-0.149864</v>
      </c>
      <c r="I11" s="16">
        <f t="shared" ca="1" si="1"/>
        <v>-0.149864</v>
      </c>
      <c r="J11" s="15">
        <f t="shared" ca="1" si="1"/>
        <v>-0.149864</v>
      </c>
      <c r="K11" s="15">
        <f t="shared" ca="1" si="1"/>
        <v>-0.149864</v>
      </c>
      <c r="L11" s="15">
        <f t="shared" ca="1" si="1"/>
        <v>-0.14986400000000002</v>
      </c>
      <c r="M11" s="15">
        <f t="shared" ca="1" si="1"/>
        <v>-0.149864</v>
      </c>
      <c r="N11" s="16">
        <f t="shared" ca="1" si="1"/>
        <v>-0.14986400000000002</v>
      </c>
      <c r="O11" s="16">
        <f t="shared" ca="1" si="1"/>
        <v>-0.149864</v>
      </c>
      <c r="P11" s="16">
        <f t="shared" ca="1" si="1"/>
        <v>-0.149864</v>
      </c>
      <c r="Q11" s="16">
        <f t="shared" ca="1" si="1"/>
        <v>-0.14986400000000002</v>
      </c>
      <c r="R11" s="15">
        <f t="shared" ca="1" si="1"/>
        <v>-0.149864</v>
      </c>
      <c r="S11" s="15">
        <f t="shared" ca="1" si="1"/>
        <v>-0.149864</v>
      </c>
      <c r="T11" s="15">
        <f t="shared" ca="1" si="1"/>
        <v>-0.22771863466020978</v>
      </c>
      <c r="U11" s="15">
        <f t="shared" ca="1" si="1"/>
        <v>-0.149864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250.33649181552005</v>
      </c>
      <c r="G16" s="20">
        <f t="shared" ca="1" si="4"/>
        <v>973.85293623802045</v>
      </c>
      <c r="H16" s="20">
        <f t="shared" ca="1" si="4"/>
        <v>708.7310563640599</v>
      </c>
      <c r="I16" s="20">
        <f t="shared" ca="1" si="4"/>
        <v>1560.6793636325033</v>
      </c>
      <c r="J16" s="19">
        <f t="shared" ca="1" si="4"/>
        <v>762.1066398222149</v>
      </c>
      <c r="K16" s="19">
        <f t="shared" ca="1" si="4"/>
        <v>1725.4341009529489</v>
      </c>
      <c r="L16" s="19">
        <f t="shared" ca="1" si="4"/>
        <v>1096.6281841979037</v>
      </c>
      <c r="M16" s="19">
        <f t="shared" ca="1" si="4"/>
        <v>2114.4541515356373</v>
      </c>
      <c r="N16" s="20">
        <f t="shared" ca="1" si="4"/>
        <v>1021.9869825170015</v>
      </c>
      <c r="O16" s="20">
        <f t="shared" ca="1" si="4"/>
        <v>2208.3389553217658</v>
      </c>
      <c r="P16" s="20">
        <f t="shared" ca="1" si="4"/>
        <v>1395.7871652425131</v>
      </c>
      <c r="Q16" s="20">
        <f t="shared" ca="1" si="4"/>
        <v>2615.2800893557874</v>
      </c>
      <c r="R16" s="19">
        <f t="shared" ca="1" si="4"/>
        <v>1299.1278978990676</v>
      </c>
      <c r="S16" s="19">
        <f t="shared" ca="1" si="4"/>
        <v>2723.3892775600543</v>
      </c>
      <c r="T16" s="19">
        <f t="shared" ca="1" si="4"/>
        <v>712.70307534172707</v>
      </c>
      <c r="U16" s="19">
        <f t="shared" ca="1" si="4"/>
        <v>3159.0899978991247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233.55355929077245</v>
      </c>
      <c r="G17" s="20">
        <f ca="1">G16/(1+(ScenarioParameters!$B$8/100)/4)^F3</f>
        <v>892.93796562715545</v>
      </c>
      <c r="H17" s="20">
        <f ca="1">H16/(1+(ScenarioParameters!$B$8/100)/4)^G3</f>
        <v>638.66770551009847</v>
      </c>
      <c r="I17" s="20">
        <f ca="1">I16/(1+(ScenarioParameters!$B$8/100)/4)^H3</f>
        <v>1382.2059641422559</v>
      </c>
      <c r="J17" s="19">
        <f ca="1">J16/(1+(ScenarioParameters!$B$8/100)/4)^I3</f>
        <v>663.34643923190299</v>
      </c>
      <c r="K17" s="19">
        <f ca="1">K16/(1+(ScenarioParameters!$B$8/100)/4)^J3</f>
        <v>1476.0076757522568</v>
      </c>
      <c r="L17" s="19">
        <f ca="1">L16/(1+(ScenarioParameters!$B$8/100)/4)^K3</f>
        <v>921.96667691833488</v>
      </c>
      <c r="M17" s="19">
        <f ca="1">M16/(1+(ScenarioParameters!$B$8/100)/4)^L3</f>
        <v>1747.1076918507877</v>
      </c>
      <c r="N17" s="20">
        <f ca="1">N16/(1+(ScenarioParameters!$B$8/100)/4)^M3</f>
        <v>829.91258287284654</v>
      </c>
      <c r="O17" s="20">
        <f ca="1">O16/(1+(ScenarioParameters!$B$8/100)/4)^N3</f>
        <v>1762.4560701517216</v>
      </c>
      <c r="P17" s="20">
        <f ca="1">P16/(1+(ScenarioParameters!$B$8/100)/4)^O3</f>
        <v>1094.8064565143877</v>
      </c>
      <c r="Q17" s="20">
        <f ca="1">Q16/(1+(ScenarioParameters!$B$8/100)/4)^P3</f>
        <v>2016.0529716868089</v>
      </c>
      <c r="R17" s="19">
        <f ca="1">R16/(1+(ScenarioParameters!$B$8/100)/4)^Q3</f>
        <v>984.24047977273381</v>
      </c>
      <c r="S17" s="19">
        <f ca="1">S16/(1+(ScenarioParameters!$B$8/100)/4)^R3</f>
        <v>2027.7976666600493</v>
      </c>
      <c r="T17" s="19">
        <f ca="1">T16/(1+(ScenarioParameters!$B$8/100)/4)^S3</f>
        <v>521.54178690980586</v>
      </c>
      <c r="U17" s="19">
        <f ca="1">U16/(1+(ScenarioParameters!$B$8/100)/4)^T3</f>
        <v>2271.998594907086</v>
      </c>
    </row>
    <row r="18" spans="1:21" ht="15.75" customHeight="1"/>
    <row r="19" spans="1:21" ht="15.75" customHeight="1">
      <c r="A19" s="2" t="s">
        <v>36</v>
      </c>
      <c r="B19" s="20">
        <f ca="1">SUM(B17:U17)</f>
        <v>19402.792130519996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2</v>
      </c>
      <c r="B1" s="4">
        <v>-0.3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(-1)*(ScenarioParameters!$B$5+(ScenarioParameters!$B$5*$B$1))*ScenarioParameters!$G3*(1/1000)</f>
        <v>-250.71973398471999</v>
      </c>
      <c r="G9" s="16">
        <f ca="1">(-1)*(ScenarioParameters!$B$5+(ScenarioParameters!$B$5*$B$1))*ScenarioParameters!$G4*(1/1000)</f>
        <v>-640.57099924004478</v>
      </c>
      <c r="H9" s="16">
        <f ca="1">(-1)*(ScenarioParameters!$B$5+(ScenarioParameters!$B$5*$B$1))*ScenarioParameters!$G5*(1/1000)</f>
        <v>-497.11619813025811</v>
      </c>
      <c r="I9" s="16">
        <f ca="1">(-1)*(ScenarioParameters!$B$5+(ScenarioParameters!$B$5*$B$1))*ScenarioParameters!$G6*(1/1000)</f>
        <v>-958.09691776424529</v>
      </c>
      <c r="J9" s="16">
        <f ca="1">(-1)*(ScenarioParameters!$B$5+(ScenarioParameters!$B$5*$B$1))*ScenarioParameters!$G7*(1/1000)</f>
        <v>-525.99719321353291</v>
      </c>
      <c r="K9" s="16">
        <f ca="1">(-1)*(ScenarioParameters!$B$5+(ScenarioParameters!$B$5*$B$1))*ScenarioParameters!$G8*(1/1000)</f>
        <v>-1047.2440605252868</v>
      </c>
      <c r="L9" s="16">
        <f ca="1">(-1)*(ScenarioParameters!$B$5+(ScenarioParameters!$B$5*$B$1))*ScenarioParameters!$G9*(1/1000)</f>
        <v>-707.00345960756636</v>
      </c>
      <c r="M9" s="16">
        <f ca="1">(-1)*(ScenarioParameters!$B$5+(ScenarioParameters!$B$5*$B$1))*ScenarioParameters!$G10*(1/1000)</f>
        <v>-1257.7389242860193</v>
      </c>
      <c r="N9" s="16">
        <f ca="1">(-1)*(ScenarioParameters!$B$5+(ScenarioParameters!$B$5*$B$1))*ScenarioParameters!$G11*(1/1000)</f>
        <v>-666.61585090918334</v>
      </c>
      <c r="O9" s="16">
        <f ca="1">(-1)*(ScenarioParameters!$B$5+(ScenarioParameters!$B$5*$B$1))*ScenarioParameters!$G12*(1/1000)</f>
        <v>-1308.539053874619</v>
      </c>
      <c r="P9" s="16">
        <f ca="1">(-1)*(ScenarioParameters!$B$5+(ScenarioParameters!$B$5*$B$1))*ScenarioParameters!$G13*(1/1000)</f>
        <v>-868.87539619146162</v>
      </c>
      <c r="Q9" s="16">
        <f ca="1">(-1)*(ScenarioParameters!$B$5+(ScenarioParameters!$B$5*$B$1))*ScenarioParameters!$G14*(1/1000)</f>
        <v>-1528.7308368915258</v>
      </c>
      <c r="R9" s="16">
        <f ca="1">(-1)*(ScenarioParameters!$B$5+(ScenarioParameters!$B$5*$B$1))*ScenarioParameters!$G15*(1/1000)</f>
        <v>-816.57403208389087</v>
      </c>
      <c r="S9" s="16">
        <f ca="1">(-1)*(ScenarioParameters!$B$5+(ScenarioParameters!$B$5*$B$1))*ScenarioParameters!$G16*(1/1000)</f>
        <v>-1587.2276388128025</v>
      </c>
      <c r="T9" s="16">
        <f ca="1">(-1)*(ScenarioParameters!$B$5+(ScenarioParameters!$B$5*$B$1))*ScenarioParameters!$G16*(1/1000)</f>
        <v>-1587.2276388128025</v>
      </c>
      <c r="U9" s="16">
        <f ca="1">(-1)*(ScenarioParameters!$B$5+(ScenarioParameters!$B$5*$B$1))*ScenarioParameters!$G18*(1/1000)</f>
        <v>-1822.9809467229095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-8.0696000000000004E-2</v>
      </c>
      <c r="G11" s="16">
        <f t="shared" ca="1" si="1"/>
        <v>-8.0696000000000004E-2</v>
      </c>
      <c r="H11" s="16">
        <f t="shared" ca="1" si="1"/>
        <v>-8.069599999999999E-2</v>
      </c>
      <c r="I11" s="16">
        <f t="shared" ca="1" si="1"/>
        <v>-8.069599999999999E-2</v>
      </c>
      <c r="J11" s="15">
        <f t="shared" ca="1" si="1"/>
        <v>-8.0696000000000004E-2</v>
      </c>
      <c r="K11" s="15">
        <f t="shared" ca="1" si="1"/>
        <v>-8.0696000000000004E-2</v>
      </c>
      <c r="L11" s="15">
        <f t="shared" ca="1" si="1"/>
        <v>-8.069599999999999E-2</v>
      </c>
      <c r="M11" s="15">
        <f t="shared" ca="1" si="1"/>
        <v>-8.069599999999999E-2</v>
      </c>
      <c r="N11" s="16">
        <f t="shared" ca="1" si="1"/>
        <v>-8.0696000000000004E-2</v>
      </c>
      <c r="O11" s="16">
        <f t="shared" ca="1" si="1"/>
        <v>-8.0696000000000004E-2</v>
      </c>
      <c r="P11" s="16">
        <f t="shared" ca="1" si="1"/>
        <v>-8.0696000000000004E-2</v>
      </c>
      <c r="Q11" s="16">
        <f t="shared" ca="1" si="1"/>
        <v>-8.0696000000000004E-2</v>
      </c>
      <c r="R11" s="15">
        <f t="shared" ca="1" si="1"/>
        <v>-8.0696000000000004E-2</v>
      </c>
      <c r="S11" s="15">
        <f t="shared" ca="1" si="1"/>
        <v>-8.0696000000000004E-2</v>
      </c>
      <c r="T11" s="15">
        <f t="shared" ca="1" si="1"/>
        <v>-0.12261772635549759</v>
      </c>
      <c r="U11" s="15">
        <f t="shared" ca="1" si="1"/>
        <v>-8.0696000000000004E-2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465.23912094528004</v>
      </c>
      <c r="G16" s="20">
        <f t="shared" ca="1" si="4"/>
        <v>1522.9137927294873</v>
      </c>
      <c r="H16" s="20">
        <f t="shared" ca="1" si="4"/>
        <v>1134.8306547614243</v>
      </c>
      <c r="I16" s="20">
        <f t="shared" ca="1" si="4"/>
        <v>2381.9052931447141</v>
      </c>
      <c r="J16" s="19">
        <f t="shared" ca="1" si="4"/>
        <v>1212.9613768623858</v>
      </c>
      <c r="K16" s="19">
        <f t="shared" ca="1" si="4"/>
        <v>2623.0718671174805</v>
      </c>
      <c r="L16" s="19">
        <f t="shared" ca="1" si="4"/>
        <v>1702.631149575818</v>
      </c>
      <c r="M16" s="19">
        <f t="shared" ca="1" si="4"/>
        <v>3192.5160866379401</v>
      </c>
      <c r="N16" s="20">
        <f t="shared" ca="1" si="4"/>
        <v>1593.3719975820159</v>
      </c>
      <c r="O16" s="20">
        <f t="shared" ca="1" si="4"/>
        <v>3329.9438586428678</v>
      </c>
      <c r="P16" s="20">
        <f t="shared" ca="1" si="4"/>
        <v>2140.5375048351943</v>
      </c>
      <c r="Q16" s="20">
        <f t="shared" ca="1" si="4"/>
        <v>3925.6208066913814</v>
      </c>
      <c r="R16" s="19">
        <f t="shared" ca="1" si="4"/>
        <v>1999.0484968281171</v>
      </c>
      <c r="S16" s="19">
        <f t="shared" ca="1" si="4"/>
        <v>4083.8701108281707</v>
      </c>
      <c r="T16" s="19">
        <f t="shared" ca="1" si="4"/>
        <v>2073.1839086098435</v>
      </c>
      <c r="U16" s="19">
        <f t="shared" ca="1" si="4"/>
        <v>4721.6450950901899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434.04879500410038</v>
      </c>
      <c r="G17" s="20">
        <f ca="1">G16/(1+(ScenarioParameters!$B$8/100)/4)^F3</f>
        <v>1396.3787480669846</v>
      </c>
      <c r="H17" s="20">
        <f ca="1">H16/(1+(ScenarioParameters!$B$8/100)/4)^G3</f>
        <v>1022.6441806251225</v>
      </c>
      <c r="I17" s="20">
        <f ca="1">I16/(1+(ScenarioParameters!$B$8/100)/4)^H3</f>
        <v>2109.5195969938341</v>
      </c>
      <c r="J17" s="19">
        <f ca="1">J16/(1+(ScenarioParameters!$B$8/100)/4)^I3</f>
        <v>1055.7756201352493</v>
      </c>
      <c r="K17" s="19">
        <f ca="1">K16/(1+(ScenarioParameters!$B$8/100)/4)^J3</f>
        <v>2243.8841377812678</v>
      </c>
      <c r="L17" s="19">
        <f ca="1">L16/(1+(ScenarioParameters!$B$8/100)/4)^K3</f>
        <v>1431.4507009868826</v>
      </c>
      <c r="M17" s="19">
        <f ca="1">M16/(1+(ScenarioParameters!$B$8/100)/4)^L3</f>
        <v>2637.8767339418064</v>
      </c>
      <c r="N17" s="20">
        <f ca="1">N16/(1+(ScenarioParameters!$B$8/100)/4)^M3</f>
        <v>1293.9102871288867</v>
      </c>
      <c r="O17" s="20">
        <f ca="1">O16/(1+(ScenarioParameters!$B$8/100)/4)^N3</f>
        <v>2657.5991664623984</v>
      </c>
      <c r="P17" s="20">
        <f ca="1">P16/(1+(ScenarioParameters!$B$8/100)/4)^O3</f>
        <v>1678.9624801411594</v>
      </c>
      <c r="Q17" s="20">
        <f ca="1">Q16/(1+(ScenarioParameters!$B$8/100)/4)^P3</f>
        <v>3026.1613374631775</v>
      </c>
      <c r="R17" s="19">
        <f ca="1">R16/(1+(ScenarioParameters!$B$8/100)/4)^Q3</f>
        <v>1514.5117388279898</v>
      </c>
      <c r="S17" s="19">
        <f ca="1">S16/(1+(ScenarioParameters!$B$8/100)/4)^R3</f>
        <v>3040.7927173376593</v>
      </c>
      <c r="T17" s="19">
        <f ca="1">T16/(1+(ScenarioParameters!$B$8/100)/4)^S3</f>
        <v>1517.114318288292</v>
      </c>
      <c r="U17" s="19">
        <f ca="1">U16/(1+(ScenarioParameters!$B$8/100)/4)^T3</f>
        <v>3395.7788568318583</v>
      </c>
    </row>
    <row r="18" spans="1:21" ht="15.75" customHeight="1"/>
    <row r="19" spans="1:21" ht="15.75" customHeight="1">
      <c r="A19" s="2" t="s">
        <v>36</v>
      </c>
      <c r="B19" s="20">
        <f ca="1">SUM(B17:U17)</f>
        <v>30394.601258737661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38</v>
      </c>
      <c r="B1" s="4">
        <v>0.1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21">
        <f ca="1">ScenarioParameters!$G3+ScenarioParameters!$G3*$B$1</f>
        <v>3417.6626769999998</v>
      </c>
      <c r="G10" s="21">
        <f ca="1">ScenarioParameters!$G4+ScenarioParameters!$G4*$B$1</f>
        <v>8731.8838500551356</v>
      </c>
      <c r="H10" s="21">
        <f ca="1">ScenarioParameters!$G5+ScenarioParameters!$G5*$B$1</f>
        <v>6776.3931042837812</v>
      </c>
      <c r="I10" s="21">
        <f ca="1">ScenarioParameters!$G6+ScenarioParameters!$G6*$B$1</f>
        <v>13060.208802675101</v>
      </c>
      <c r="J10" s="21">
        <f ca="1">ScenarioParameters!$G7+ScenarioParameters!$G7*$B$1</f>
        <v>7170.0816959314734</v>
      </c>
      <c r="K10" s="21">
        <f ca="1">ScenarioParameters!$G8+ScenarioParameters!$G8*$B$1</f>
        <v>14275.40976724764</v>
      </c>
      <c r="L10" s="21">
        <f ca="1">ScenarioParameters!$G9+ScenarioParameters!$G9*$B$1</f>
        <v>9637.4517394706436</v>
      </c>
      <c r="M10" s="21">
        <f ca="1">ScenarioParameters!$G10+ScenarioParameters!$G10*$B$1</f>
        <v>17144.750876308881</v>
      </c>
      <c r="N10" s="21">
        <f ca="1">ScenarioParameters!$G11+ScenarioParameters!$G11*$B$1</f>
        <v>9086.9118171917034</v>
      </c>
      <c r="O10" s="21">
        <f ca="1">ScenarioParameters!$G12+ScenarioParameters!$G12*$B$1</f>
        <v>17837.228106251619</v>
      </c>
      <c r="P10" s="21">
        <f ca="1">ScenarioParameters!$G13+ScenarioParameters!$G13*$B$1</f>
        <v>11843.993950265289</v>
      </c>
      <c r="Q10" s="21">
        <f ca="1">ScenarioParameters!$G14+ScenarioParameters!$G14*$B$1</f>
        <v>20838.751866024071</v>
      </c>
      <c r="R10" s="21">
        <f ca="1">ScenarioParameters!$G15+ScenarioParameters!$G15*$B$1</f>
        <v>11131.05278195053</v>
      </c>
      <c r="S10" s="21">
        <f ca="1">ScenarioParameters!$G16+ScenarioParameters!$G16*$B$1</f>
        <v>21636.145567241037</v>
      </c>
      <c r="T10" s="21">
        <f ca="1">ScenarioParameters!$G17+ScenarioParameters!$G17*$B$1</f>
        <v>14238.972248043179</v>
      </c>
      <c r="U10" s="21">
        <f ca="1">ScenarioParameters!$G18+ScenarioParameters!$G18*$B$1</f>
        <v>24849.794802656892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-0.1048</v>
      </c>
      <c r="G11" s="16">
        <f t="shared" ca="1" si="1"/>
        <v>-0.1048</v>
      </c>
      <c r="H11" s="16">
        <f t="shared" ca="1" si="1"/>
        <v>-0.10479999999999999</v>
      </c>
      <c r="I11" s="16">
        <f t="shared" ca="1" si="1"/>
        <v>-0.1048</v>
      </c>
      <c r="J11" s="15">
        <f t="shared" ca="1" si="1"/>
        <v>-0.10479999999999999</v>
      </c>
      <c r="K11" s="15">
        <f t="shared" ca="1" si="1"/>
        <v>-0.10479999999999999</v>
      </c>
      <c r="L11" s="15">
        <f t="shared" ca="1" si="1"/>
        <v>-0.10479999999999999</v>
      </c>
      <c r="M11" s="15">
        <f t="shared" ca="1" si="1"/>
        <v>-0.1048</v>
      </c>
      <c r="N11" s="16">
        <f t="shared" ca="1" si="1"/>
        <v>-0.10479999999999999</v>
      </c>
      <c r="O11" s="16">
        <f t="shared" ca="1" si="1"/>
        <v>-0.1048</v>
      </c>
      <c r="P11" s="16">
        <f t="shared" ca="1" si="1"/>
        <v>-0.10480000000000002</v>
      </c>
      <c r="Q11" s="16">
        <f t="shared" ca="1" si="1"/>
        <v>-0.10479999999999999</v>
      </c>
      <c r="R11" s="15">
        <f t="shared" ca="1" si="1"/>
        <v>-0.1048</v>
      </c>
      <c r="S11" s="15">
        <f t="shared" ca="1" si="1"/>
        <v>-0.1048</v>
      </c>
      <c r="T11" s="15">
        <f t="shared" ca="1" si="1"/>
        <v>-0.1048</v>
      </c>
      <c r="U11" s="15">
        <f t="shared" ca="1" si="1"/>
        <v>-0.1048</v>
      </c>
    </row>
    <row r="12" spans="1:21" ht="15.75" customHeight="1">
      <c r="A12" s="2" t="s">
        <v>31</v>
      </c>
      <c r="B12" s="15"/>
      <c r="C12" s="15"/>
      <c r="D12" s="15"/>
      <c r="E12" s="15"/>
      <c r="F12" s="17">
        <f ca="1">(ScenarioParameters!$B$4*F10)*(1/1000)</f>
        <v>1021.881140423</v>
      </c>
      <c r="G12" s="17">
        <f ca="1">(ScenarioParameters!$B$4*G10)*(1/1000)</f>
        <v>2610.8332711664857</v>
      </c>
      <c r="H12" s="17">
        <f ca="1">(ScenarioParameters!$B$4*H10)*(1/1000)</f>
        <v>2026.1415381808508</v>
      </c>
      <c r="I12" s="17">
        <f ca="1">(ScenarioParameters!$B$4*I10)*(1/1000)</f>
        <v>3905.0024319998552</v>
      </c>
      <c r="J12" s="17">
        <f ca="1">(ScenarioParameters!$B$4*J10)*(1/1000)</f>
        <v>2143.8544270835105</v>
      </c>
      <c r="K12" s="17">
        <f ca="1">(ScenarioParameters!$B$4*K10)*(1/1000)</f>
        <v>4268.3475204070446</v>
      </c>
      <c r="L12" s="17">
        <f ca="1">(ScenarioParameters!$B$4*L10)*(1/1000)</f>
        <v>2881.5980701017224</v>
      </c>
      <c r="M12" s="17">
        <f ca="1">(ScenarioParameters!$B$4*M10)*(1/1000)</f>
        <v>5126.2805120163548</v>
      </c>
      <c r="N12" s="17">
        <f ca="1">(ScenarioParameters!$B$4*N10)*(1/1000)</f>
        <v>2716.9866333403193</v>
      </c>
      <c r="O12" s="17">
        <f ca="1">(ScenarioParameters!$B$4*O10)*(1/1000)</f>
        <v>5333.331203769234</v>
      </c>
      <c r="P12" s="17">
        <f ca="1">(ScenarioParameters!$B$4*P10)*(1/1000)</f>
        <v>3541.3541911293214</v>
      </c>
      <c r="Q12" s="17">
        <f ca="1">(ScenarioParameters!$B$4*Q10)*(1/1000)</f>
        <v>6230.7868079411974</v>
      </c>
      <c r="R12" s="17">
        <f ca="1">(ScenarioParameters!$B$4*R10)*(1/1000)</f>
        <v>3328.1847818032084</v>
      </c>
      <c r="S12" s="17">
        <f ca="1">(ScenarioParameters!$B$4*S10)*(1/1000)</f>
        <v>6469.2075246050699</v>
      </c>
      <c r="T12" s="17">
        <f ca="1">(ScenarioParameters!$B$4*T10)*(1/1000)</f>
        <v>4257.452702164911</v>
      </c>
      <c r="U12" s="17">
        <f ca="1">(ScenarioParameters!$B$4*U10)*(1/1000)</f>
        <v>7430.0886459944113</v>
      </c>
    </row>
    <row r="13" spans="1:21" ht="15.75" customHeight="1">
      <c r="A13" s="1" t="s">
        <v>32</v>
      </c>
      <c r="B13" s="15"/>
      <c r="C13" s="15"/>
      <c r="D13" s="15"/>
      <c r="E13" s="15"/>
      <c r="F13" s="21">
        <f t="shared" ref="F13:U13" ca="1" si="2">F$10</f>
        <v>3417.6626769999998</v>
      </c>
      <c r="G13" s="21">
        <f t="shared" ca="1" si="2"/>
        <v>8731.8838500551356</v>
      </c>
      <c r="H13" s="21">
        <f t="shared" ca="1" si="2"/>
        <v>6776.3931042837812</v>
      </c>
      <c r="I13" s="21">
        <f t="shared" ca="1" si="2"/>
        <v>13060.208802675101</v>
      </c>
      <c r="J13" s="14">
        <f t="shared" ca="1" si="2"/>
        <v>7170.0816959314734</v>
      </c>
      <c r="K13" s="14">
        <f t="shared" ca="1" si="2"/>
        <v>14275.40976724764</v>
      </c>
      <c r="L13" s="14">
        <f t="shared" ca="1" si="2"/>
        <v>9637.4517394706436</v>
      </c>
      <c r="M13" s="14">
        <f t="shared" ca="1" si="2"/>
        <v>17144.750876308881</v>
      </c>
      <c r="N13" s="21">
        <f t="shared" ca="1" si="2"/>
        <v>9086.9118171917034</v>
      </c>
      <c r="O13" s="21">
        <f t="shared" ca="1" si="2"/>
        <v>17837.228106251619</v>
      </c>
      <c r="P13" s="21">
        <f t="shared" ca="1" si="2"/>
        <v>11843.993950265289</v>
      </c>
      <c r="Q13" s="21">
        <f t="shared" ca="1" si="2"/>
        <v>20838.751866024071</v>
      </c>
      <c r="R13" s="14">
        <f t="shared" ca="1" si="2"/>
        <v>11131.05278195053</v>
      </c>
      <c r="S13" s="14">
        <f t="shared" ca="1" si="2"/>
        <v>21636.145567241037</v>
      </c>
      <c r="T13" s="14">
        <f t="shared" ca="1" si="2"/>
        <v>14238.972248043179</v>
      </c>
      <c r="U13" s="14">
        <f t="shared" ca="1" si="2"/>
        <v>24849.794802656892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0.29900000000000004</v>
      </c>
      <c r="G14" s="16">
        <f t="shared" ca="1" si="3"/>
        <v>0.29900000000000004</v>
      </c>
      <c r="H14" s="16">
        <f t="shared" ca="1" si="3"/>
        <v>0.29900000000000004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0.29900000000000004</v>
      </c>
      <c r="L14" s="15">
        <f t="shared" ca="1" si="3"/>
        <v>0.29899999999999999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0.29899999999999999</v>
      </c>
      <c r="P14" s="16">
        <f t="shared" ca="1" si="3"/>
        <v>0.29899999999999999</v>
      </c>
      <c r="Q14" s="16">
        <f t="shared" ca="1" si="3"/>
        <v>0.29899999999999999</v>
      </c>
      <c r="R14" s="15">
        <f t="shared" ca="1" si="3"/>
        <v>0.29899999999999999</v>
      </c>
      <c r="S14" s="15">
        <f t="shared" ca="1" si="3"/>
        <v>0.29899999999999999</v>
      </c>
      <c r="T14" s="15">
        <f t="shared" ca="1" si="3"/>
        <v>0.29900000000000004</v>
      </c>
      <c r="U14" s="15">
        <f t="shared" ca="1" si="3"/>
        <v>0.29900000000000004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450.68609187340007</v>
      </c>
      <c r="G16" s="20">
        <f t="shared" ca="1" si="4"/>
        <v>1485.7318436807075</v>
      </c>
      <c r="H16" s="20">
        <f t="shared" ca="1" si="4"/>
        <v>1105.9755408519106</v>
      </c>
      <c r="I16" s="20">
        <f t="shared" ca="1" si="4"/>
        <v>2326.2925494795045</v>
      </c>
      <c r="J16" s="19">
        <f t="shared" ca="1" si="4"/>
        <v>1182.4298653498922</v>
      </c>
      <c r="K16" s="19">
        <f t="shared" ca="1" si="4"/>
        <v>2562.2845767994922</v>
      </c>
      <c r="L16" s="19">
        <f t="shared" ca="1" si="4"/>
        <v>1661.5931278051989</v>
      </c>
      <c r="M16" s="19">
        <f t="shared" ca="1" si="4"/>
        <v>3119.5106201791841</v>
      </c>
      <c r="N16" s="20">
        <f t="shared" ca="1" si="4"/>
        <v>1554.6782748986288</v>
      </c>
      <c r="O16" s="20">
        <f t="shared" ca="1" si="4"/>
        <v>3253.9896982340642</v>
      </c>
      <c r="P16" s="20">
        <f t="shared" ca="1" si="4"/>
        <v>2090.1036251415189</v>
      </c>
      <c r="Q16" s="20">
        <f t="shared" ca="1" si="4"/>
        <v>3836.885612381875</v>
      </c>
      <c r="R16" s="19">
        <f t="shared" ca="1" si="4"/>
        <v>1951.6504502547928</v>
      </c>
      <c r="S16" s="19">
        <f t="shared" ca="1" si="4"/>
        <v>3991.739469158209</v>
      </c>
      <c r="T16" s="19">
        <f t="shared" ca="1" si="4"/>
        <v>2555.208410569986</v>
      </c>
      <c r="U16" s="19">
        <f t="shared" ca="1" si="4"/>
        <v>4615.830150675969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420.47142274986106</v>
      </c>
      <c r="G17" s="20">
        <f ca="1">G16/(1+(ScenarioParameters!$B$8/100)/4)^F3</f>
        <v>1362.2861528647502</v>
      </c>
      <c r="H17" s="20">
        <f ca="1">H16/(1+(ScenarioParameters!$B$8/100)/4)^G3</f>
        <v>996.64160993580435</v>
      </c>
      <c r="I17" s="20">
        <f ca="1">I16/(1+(ScenarioParameters!$B$8/100)/4)^H3</f>
        <v>2060.2665167215</v>
      </c>
      <c r="J17" s="19">
        <f ca="1">J16/(1+(ScenarioParameters!$B$8/100)/4)^I3</f>
        <v>1029.2006391707675</v>
      </c>
      <c r="K17" s="19">
        <f ca="1">K16/(1+(ScenarioParameters!$B$8/100)/4)^J3</f>
        <v>2191.8841761206181</v>
      </c>
      <c r="L17" s="19">
        <f ca="1">L16/(1+(ScenarioParameters!$B$8/100)/4)^K3</f>
        <v>1396.9488624381736</v>
      </c>
      <c r="M17" s="19">
        <f ca="1">M16/(1+(ScenarioParameters!$B$8/100)/4)^L3</f>
        <v>2577.5545879616657</v>
      </c>
      <c r="N17" s="20">
        <f ca="1">N16/(1+(ScenarioParameters!$B$8/100)/4)^M3</f>
        <v>1262.4887446997968</v>
      </c>
      <c r="O17" s="20">
        <f ca="1">O16/(1+(ScenarioParameters!$B$8/100)/4)^N3</f>
        <v>2596.9808131325453</v>
      </c>
      <c r="P17" s="20">
        <f ca="1">P16/(1+(ScenarioParameters!$B$8/100)/4)^O3</f>
        <v>1639.4039152749233</v>
      </c>
      <c r="Q17" s="20">
        <f ca="1">Q16/(1+(ScenarioParameters!$B$8/100)/4)^P3</f>
        <v>2957.7576307592603</v>
      </c>
      <c r="R17" s="19">
        <f ca="1">R16/(1+(ScenarioParameters!$B$8/100)/4)^Q3</f>
        <v>1478.6022058443148</v>
      </c>
      <c r="S17" s="19">
        <f ca="1">S16/(1+(ScenarioParameters!$B$8/100)/4)^R3</f>
        <v>2972.1935267094209</v>
      </c>
      <c r="T17" s="19">
        <f ca="1">T16/(1+(ScenarioParameters!$B$8/100)/4)^S3</f>
        <v>1869.850161284427</v>
      </c>
      <c r="U17" s="19">
        <f ca="1">U16/(1+(ScenarioParameters!$B$8/100)/4)^T3</f>
        <v>3319.677382929829</v>
      </c>
    </row>
    <row r="18" spans="1:21" ht="15.75" customHeight="1"/>
    <row r="19" spans="1:21" ht="15.75" customHeight="1">
      <c r="A19" s="2" t="s">
        <v>36</v>
      </c>
      <c r="B19" s="20">
        <f ca="1">SUM(B17:U17)</f>
        <v>30070.400191318651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38</v>
      </c>
      <c r="B1" s="4">
        <v>-0.1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21">
        <f ca="1">ScenarioParameters!$G3+ScenarioParameters!$G3*$B$1</f>
        <v>2796.2694630000001</v>
      </c>
      <c r="G10" s="21">
        <f ca="1">ScenarioParameters!$G4+ScenarioParameters!$G4*$B$1</f>
        <v>7144.2686045905648</v>
      </c>
      <c r="H10" s="21">
        <f ca="1">ScenarioParameters!$G5+ScenarioParameters!$G5*$B$1</f>
        <v>5544.3216307776383</v>
      </c>
      <c r="I10" s="21">
        <f ca="1">ScenarioParameters!$G6+ScenarioParameters!$G6*$B$1</f>
        <v>10685.6253840069</v>
      </c>
      <c r="J10" s="21">
        <f ca="1">ScenarioParameters!$G7+ScenarioParameters!$G7*$B$1</f>
        <v>5866.4304784893875</v>
      </c>
      <c r="K10" s="21">
        <f ca="1">ScenarioParameters!$G8+ScenarioParameters!$G8*$B$1</f>
        <v>11679.880718657159</v>
      </c>
      <c r="L10" s="21">
        <f ca="1">ScenarioParameters!$G9+ScenarioParameters!$G9*$B$1</f>
        <v>7885.1877868396168</v>
      </c>
      <c r="M10" s="21">
        <f ca="1">ScenarioParameters!$G10+ScenarioParameters!$G10*$B$1</f>
        <v>14027.52344425272</v>
      </c>
      <c r="N10" s="21">
        <f ca="1">ScenarioParameters!$G11+ScenarioParameters!$G11*$B$1</f>
        <v>7434.7460322477564</v>
      </c>
      <c r="O10" s="21">
        <f ca="1">ScenarioParameters!$G12+ScenarioParameters!$G12*$B$1</f>
        <v>14594.095723296781</v>
      </c>
      <c r="P10" s="21">
        <f ca="1">ScenarioParameters!$G13+ScenarioParameters!$G13*$B$1</f>
        <v>9690.54050476251</v>
      </c>
      <c r="Q10" s="21">
        <f ca="1">ScenarioParameters!$G14+ScenarioParameters!$G14*$B$1</f>
        <v>17049.887890383328</v>
      </c>
      <c r="R10" s="21">
        <f ca="1">ScenarioParameters!$G15+ScenarioParameters!$G15*$B$1</f>
        <v>9107.2250034140707</v>
      </c>
      <c r="S10" s="21">
        <f ca="1">ScenarioParameters!$G16+ScenarioParameters!$G16*$B$1</f>
        <v>17702.300918651759</v>
      </c>
      <c r="T10" s="21">
        <f ca="1">ScenarioParameters!$G17+ScenarioParameters!$G17*$B$1</f>
        <v>11650.06820294442</v>
      </c>
      <c r="U10" s="21">
        <f ca="1">ScenarioParameters!$G18+ScenarioParameters!$G18*$B$1</f>
        <v>20331.650293082908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-0.12808888888888889</v>
      </c>
      <c r="G11" s="16">
        <f t="shared" ca="1" si="1"/>
        <v>-0.12808888888888889</v>
      </c>
      <c r="H11" s="16">
        <f t="shared" ca="1" si="1"/>
        <v>-0.12808888888888889</v>
      </c>
      <c r="I11" s="16">
        <f t="shared" ca="1" si="1"/>
        <v>-0.12808888888888889</v>
      </c>
      <c r="J11" s="15">
        <f t="shared" ca="1" si="1"/>
        <v>-0.12808888888888886</v>
      </c>
      <c r="K11" s="15">
        <f t="shared" ca="1" si="1"/>
        <v>-0.12808888888888889</v>
      </c>
      <c r="L11" s="15">
        <f t="shared" ca="1" si="1"/>
        <v>-0.12808888888888889</v>
      </c>
      <c r="M11" s="15">
        <f t="shared" ca="1" si="1"/>
        <v>-0.12808888888888889</v>
      </c>
      <c r="N11" s="16">
        <f t="shared" ca="1" si="1"/>
        <v>-0.12808888888888889</v>
      </c>
      <c r="O11" s="16">
        <f t="shared" ca="1" si="1"/>
        <v>-0.12808888888888886</v>
      </c>
      <c r="P11" s="16">
        <f t="shared" ca="1" si="1"/>
        <v>-0.12808888888888889</v>
      </c>
      <c r="Q11" s="16">
        <f t="shared" ca="1" si="1"/>
        <v>-0.12808888888888889</v>
      </c>
      <c r="R11" s="15">
        <f t="shared" ca="1" si="1"/>
        <v>-0.12808888888888889</v>
      </c>
      <c r="S11" s="15">
        <f t="shared" ca="1" si="1"/>
        <v>-0.12808888888888889</v>
      </c>
      <c r="T11" s="15">
        <f t="shared" ca="1" si="1"/>
        <v>-0.12808888888888889</v>
      </c>
      <c r="U11" s="15">
        <f t="shared" ca="1" si="1"/>
        <v>-0.12808888888888892</v>
      </c>
    </row>
    <row r="12" spans="1:21" ht="15.75" customHeight="1">
      <c r="A12" s="2" t="s">
        <v>31</v>
      </c>
      <c r="B12" s="15"/>
      <c r="C12" s="15"/>
      <c r="D12" s="15"/>
      <c r="E12" s="15"/>
      <c r="F12" s="17">
        <f ca="1">(ScenarioParameters!$B$4*F10)*(1/1000)</f>
        <v>836.08456943700003</v>
      </c>
      <c r="G12" s="17">
        <f ca="1">(ScenarioParameters!$B$4*G10)*(1/1000)</f>
        <v>2136.136312772579</v>
      </c>
      <c r="H12" s="17">
        <f ca="1">(ScenarioParameters!$B$4*H10)*(1/1000)</f>
        <v>1657.752167602514</v>
      </c>
      <c r="I12" s="17">
        <f ca="1">(ScenarioParameters!$B$4*I10)*(1/1000)</f>
        <v>3195.0019898180631</v>
      </c>
      <c r="J12" s="17">
        <f ca="1">(ScenarioParameters!$B$4*J10)*(1/1000)</f>
        <v>1754.062713068327</v>
      </c>
      <c r="K12" s="17">
        <f ca="1">(ScenarioParameters!$B$4*K10)*(1/1000)</f>
        <v>3492.2843348784909</v>
      </c>
      <c r="L12" s="17">
        <f ca="1">(ScenarioParameters!$B$4*L10)*(1/1000)</f>
        <v>2357.6711482650458</v>
      </c>
      <c r="M12" s="17">
        <f ca="1">(ScenarioParameters!$B$4*M10)*(1/1000)</f>
        <v>4194.2295098315635</v>
      </c>
      <c r="N12" s="17">
        <f ca="1">(ScenarioParameters!$B$4*N10)*(1/1000)</f>
        <v>2222.9890636420791</v>
      </c>
      <c r="O12" s="17">
        <f ca="1">(ScenarioParameters!$B$4*O10)*(1/1000)</f>
        <v>4363.6346212657372</v>
      </c>
      <c r="P12" s="17">
        <f ca="1">(ScenarioParameters!$B$4*P10)*(1/1000)</f>
        <v>2897.4716109239907</v>
      </c>
      <c r="Q12" s="17">
        <f ca="1">(ScenarioParameters!$B$4*Q10)*(1/1000)</f>
        <v>5097.9164792246147</v>
      </c>
      <c r="R12" s="17">
        <f ca="1">(ScenarioParameters!$B$4*R10)*(1/1000)</f>
        <v>2723.0602760208071</v>
      </c>
      <c r="S12" s="17">
        <f ca="1">(ScenarioParameters!$B$4*S10)*(1/1000)</f>
        <v>5292.9879746768765</v>
      </c>
      <c r="T12" s="17">
        <f ca="1">(ScenarioParameters!$B$4*T10)*(1/1000)</f>
        <v>3483.3703926803814</v>
      </c>
      <c r="U12" s="17">
        <f ca="1">(ScenarioParameters!$B$4*U10)*(1/1000)</f>
        <v>6079.1634376317897</v>
      </c>
    </row>
    <row r="13" spans="1:21" ht="15.75" customHeight="1">
      <c r="A13" s="1" t="s">
        <v>32</v>
      </c>
      <c r="B13" s="15"/>
      <c r="C13" s="15"/>
      <c r="D13" s="15"/>
      <c r="E13" s="15"/>
      <c r="F13" s="21">
        <f t="shared" ref="F13:U13" ca="1" si="2">F$10</f>
        <v>2796.2694630000001</v>
      </c>
      <c r="G13" s="21">
        <f t="shared" ca="1" si="2"/>
        <v>7144.2686045905648</v>
      </c>
      <c r="H13" s="21">
        <f t="shared" ca="1" si="2"/>
        <v>5544.3216307776383</v>
      </c>
      <c r="I13" s="21">
        <f t="shared" ca="1" si="2"/>
        <v>10685.6253840069</v>
      </c>
      <c r="J13" s="14">
        <f t="shared" ca="1" si="2"/>
        <v>5866.4304784893875</v>
      </c>
      <c r="K13" s="14">
        <f t="shared" ca="1" si="2"/>
        <v>11679.880718657159</v>
      </c>
      <c r="L13" s="14">
        <f t="shared" ca="1" si="2"/>
        <v>7885.1877868396168</v>
      </c>
      <c r="M13" s="14">
        <f t="shared" ca="1" si="2"/>
        <v>14027.52344425272</v>
      </c>
      <c r="N13" s="21">
        <f t="shared" ca="1" si="2"/>
        <v>7434.7460322477564</v>
      </c>
      <c r="O13" s="21">
        <f t="shared" ca="1" si="2"/>
        <v>14594.095723296781</v>
      </c>
      <c r="P13" s="21">
        <f t="shared" ca="1" si="2"/>
        <v>9690.54050476251</v>
      </c>
      <c r="Q13" s="21">
        <f t="shared" ca="1" si="2"/>
        <v>17049.887890383328</v>
      </c>
      <c r="R13" s="14">
        <f t="shared" ca="1" si="2"/>
        <v>9107.2250034140707</v>
      </c>
      <c r="S13" s="14">
        <f t="shared" ca="1" si="2"/>
        <v>17702.300918651759</v>
      </c>
      <c r="T13" s="14">
        <f t="shared" ca="1" si="2"/>
        <v>11650.06820294442</v>
      </c>
      <c r="U13" s="14">
        <f t="shared" ca="1" si="2"/>
        <v>20331.650293082908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0.29900000000000004</v>
      </c>
      <c r="H14" s="16">
        <f t="shared" ca="1" si="3"/>
        <v>0.29900000000000004</v>
      </c>
      <c r="I14" s="16">
        <f t="shared" ca="1" si="3"/>
        <v>0.29899999999999999</v>
      </c>
      <c r="J14" s="15">
        <f t="shared" ca="1" si="3"/>
        <v>0.29900000000000004</v>
      </c>
      <c r="K14" s="15">
        <f t="shared" ca="1" si="3"/>
        <v>0.29900000000000004</v>
      </c>
      <c r="L14" s="15">
        <f t="shared" ca="1" si="3"/>
        <v>0.29900000000000004</v>
      </c>
      <c r="M14" s="15">
        <f t="shared" ca="1" si="3"/>
        <v>0.29900000000000004</v>
      </c>
      <c r="N14" s="16">
        <f t="shared" ca="1" si="3"/>
        <v>0.29899999999999999</v>
      </c>
      <c r="O14" s="16">
        <f t="shared" ca="1" si="3"/>
        <v>0.29899999999999999</v>
      </c>
      <c r="P14" s="16">
        <f t="shared" ca="1" si="3"/>
        <v>0.29900000000000004</v>
      </c>
      <c r="Q14" s="16">
        <f t="shared" ca="1" si="3"/>
        <v>0.29899999999999999</v>
      </c>
      <c r="R14" s="15">
        <f t="shared" ca="1" si="3"/>
        <v>0.29899999999999999</v>
      </c>
      <c r="S14" s="15">
        <f t="shared" ca="1" si="3"/>
        <v>0.29900000000000004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264.88952088740007</v>
      </c>
      <c r="G16" s="20">
        <f t="shared" ca="1" si="4"/>
        <v>1011.0348852868008</v>
      </c>
      <c r="H16" s="20">
        <f t="shared" ca="1" si="4"/>
        <v>737.58617027357377</v>
      </c>
      <c r="I16" s="20">
        <f t="shared" ca="1" si="4"/>
        <v>1616.2921072977124</v>
      </c>
      <c r="J16" s="19">
        <f t="shared" ca="1" si="4"/>
        <v>792.6381513347086</v>
      </c>
      <c r="K16" s="19">
        <f t="shared" ca="1" si="4"/>
        <v>1786.2213912709383</v>
      </c>
      <c r="L16" s="19">
        <f t="shared" ca="1" si="4"/>
        <v>1137.6662059685223</v>
      </c>
      <c r="M16" s="19">
        <f t="shared" ca="1" si="4"/>
        <v>2187.4596179943928</v>
      </c>
      <c r="N16" s="20">
        <f t="shared" ca="1" si="4"/>
        <v>1060.6807052003887</v>
      </c>
      <c r="O16" s="20">
        <f t="shared" ca="1" si="4"/>
        <v>2284.2931157305675</v>
      </c>
      <c r="P16" s="20">
        <f t="shared" ca="1" si="4"/>
        <v>1446.2210449361883</v>
      </c>
      <c r="Q16" s="20">
        <f t="shared" ca="1" si="4"/>
        <v>2704.0152836652924</v>
      </c>
      <c r="R16" s="19">
        <f t="shared" ca="1" si="4"/>
        <v>1346.5259444723915</v>
      </c>
      <c r="S16" s="19">
        <f t="shared" ca="1" si="4"/>
        <v>2815.5199192300156</v>
      </c>
      <c r="T16" s="19">
        <f t="shared" ca="1" si="4"/>
        <v>1781.1261010854562</v>
      </c>
      <c r="U16" s="19">
        <f t="shared" ca="1" si="4"/>
        <v>3264.9049423133474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247.13093154501183</v>
      </c>
      <c r="G17" s="20">
        <f ca="1">G16/(1+(ScenarioParameters!$B$8/100)/4)^F3</f>
        <v>927.03056082939008</v>
      </c>
      <c r="H17" s="20">
        <f ca="1">H16/(1+(ScenarioParameters!$B$8/100)/4)^G3</f>
        <v>664.67027619941689</v>
      </c>
      <c r="I17" s="20">
        <f ca="1">I16/(1+(ScenarioParameters!$B$8/100)/4)^H3</f>
        <v>1431.4590444145897</v>
      </c>
      <c r="J17" s="19">
        <f ca="1">J16/(1+(ScenarioParameters!$B$8/100)/4)^I3</f>
        <v>689.9214201963847</v>
      </c>
      <c r="K17" s="19">
        <f ca="1">K16/(1+(ScenarioParameters!$B$8/100)/4)^J3</f>
        <v>1528.0076374129078</v>
      </c>
      <c r="L17" s="19">
        <f ca="1">L16/(1+(ScenarioParameters!$B$8/100)/4)^K3</f>
        <v>956.46851546704352</v>
      </c>
      <c r="M17" s="19">
        <f ca="1">M16/(1+(ScenarioParameters!$B$8/100)/4)^L3</f>
        <v>1807.4298378309279</v>
      </c>
      <c r="N17" s="20">
        <f ca="1">N16/(1+(ScenarioParameters!$B$8/100)/4)^M3</f>
        <v>861.33412530193652</v>
      </c>
      <c r="O17" s="20">
        <f ca="1">O16/(1+(ScenarioParameters!$B$8/100)/4)^N3</f>
        <v>1823.0744234815731</v>
      </c>
      <c r="P17" s="20">
        <f ca="1">P16/(1+(ScenarioParameters!$B$8/100)/4)^O3</f>
        <v>1134.3650213806236</v>
      </c>
      <c r="Q17" s="20">
        <f ca="1">Q16/(1+(ScenarioParameters!$B$8/100)/4)^P3</f>
        <v>2084.4566783907248</v>
      </c>
      <c r="R17" s="19">
        <f ca="1">R16/(1+(ScenarioParameters!$B$8/100)/4)^Q3</f>
        <v>1020.1500127564086</v>
      </c>
      <c r="S17" s="19">
        <f ca="1">S16/(1+(ScenarioParameters!$B$8/100)/4)^R3</f>
        <v>2096.3968572882873</v>
      </c>
      <c r="T17" s="19">
        <f ca="1">T16/(1+(ScenarioParameters!$B$8/100)/4)^S3</f>
        <v>1303.3922844045537</v>
      </c>
      <c r="U17" s="19">
        <f ca="1">U16/(1+(ScenarioParameters!$B$8/100)/4)^T3</f>
        <v>2348.1000688091167</v>
      </c>
    </row>
    <row r="18" spans="1:21" ht="15.75" customHeight="1"/>
    <row r="19" spans="1:21" ht="15.75" customHeight="1">
      <c r="A19" s="2" t="s">
        <v>36</v>
      </c>
      <c r="B19" s="20">
        <f ca="1">SUM(B17:U17)</f>
        <v>20861.579538429884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38</v>
      </c>
      <c r="B1" s="4">
        <v>0.2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21">
        <f ca="1">ScenarioParameters!$G3+ScenarioParameters!$G3*$B$1</f>
        <v>3728.3592840000001</v>
      </c>
      <c r="G10" s="21">
        <f ca="1">ScenarioParameters!$G4+ScenarioParameters!$G4*$B$1</f>
        <v>9525.6914727874209</v>
      </c>
      <c r="H10" s="21">
        <f ca="1">ScenarioParameters!$G5+ScenarioParameters!$G5*$B$1</f>
        <v>7392.4288410368517</v>
      </c>
      <c r="I10" s="21">
        <f ca="1">ScenarioParameters!$G6+ScenarioParameters!$G6*$B$1</f>
        <v>14247.500512009201</v>
      </c>
      <c r="J10" s="21">
        <f ca="1">ScenarioParameters!$G7+ScenarioParameters!$G7*$B$1</f>
        <v>7821.9073046525164</v>
      </c>
      <c r="K10" s="21">
        <f ca="1">ScenarioParameters!$G8+ScenarioParameters!$G8*$B$1</f>
        <v>15573.17429154288</v>
      </c>
      <c r="L10" s="21">
        <f ca="1">ScenarioParameters!$G9+ScenarioParameters!$G9*$B$1</f>
        <v>10513.583715786157</v>
      </c>
      <c r="M10" s="21">
        <f ca="1">ScenarioParameters!$G10+ScenarioParameters!$G10*$B$1</f>
        <v>18703.364592336959</v>
      </c>
      <c r="N10" s="21">
        <f ca="1">ScenarioParameters!$G11+ScenarioParameters!$G11*$B$1</f>
        <v>9912.9947096636752</v>
      </c>
      <c r="O10" s="21">
        <f ca="1">ScenarioParameters!$G12+ScenarioParameters!$G12*$B$1</f>
        <v>19458.79429772904</v>
      </c>
      <c r="P10" s="21">
        <f ca="1">ScenarioParameters!$G13+ScenarioParameters!$G13*$B$1</f>
        <v>12920.72067301668</v>
      </c>
      <c r="Q10" s="21">
        <f ca="1">ScenarioParameters!$G14+ScenarioParameters!$G14*$B$1</f>
        <v>22733.183853844439</v>
      </c>
      <c r="R10" s="21">
        <f ca="1">ScenarioParameters!$G15+ScenarioParameters!$G15*$B$1</f>
        <v>12142.966671218761</v>
      </c>
      <c r="S10" s="21">
        <f ca="1">ScenarioParameters!$G16+ScenarioParameters!$G16*$B$1</f>
        <v>23603.067891535677</v>
      </c>
      <c r="T10" s="21">
        <f ca="1">ScenarioParameters!$G17+ScenarioParameters!$G17*$B$1</f>
        <v>15533.424270592559</v>
      </c>
      <c r="U10" s="21">
        <f ca="1">ScenarioParameters!$G18+ScenarioParameters!$G18*$B$1</f>
        <v>27108.86705744388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-9.6066666666666661E-2</v>
      </c>
      <c r="G11" s="16">
        <f t="shared" ca="1" si="1"/>
        <v>-9.6066666666666661E-2</v>
      </c>
      <c r="H11" s="16">
        <f t="shared" ca="1" si="1"/>
        <v>-9.6066666666666661E-2</v>
      </c>
      <c r="I11" s="16">
        <f t="shared" ca="1" si="1"/>
        <v>-9.6066666666666675E-2</v>
      </c>
      <c r="J11" s="15">
        <f t="shared" ca="1" si="1"/>
        <v>-9.6066666666666661E-2</v>
      </c>
      <c r="K11" s="15">
        <f t="shared" ca="1" si="1"/>
        <v>-9.6066666666666661E-2</v>
      </c>
      <c r="L11" s="15">
        <f t="shared" ca="1" si="1"/>
        <v>-9.6066666666666661E-2</v>
      </c>
      <c r="M11" s="15">
        <f t="shared" ca="1" si="1"/>
        <v>-9.6066666666666675E-2</v>
      </c>
      <c r="N11" s="16">
        <f t="shared" ca="1" si="1"/>
        <v>-9.6066666666666675E-2</v>
      </c>
      <c r="O11" s="16">
        <f t="shared" ca="1" si="1"/>
        <v>-9.6066666666666661E-2</v>
      </c>
      <c r="P11" s="16">
        <f t="shared" ca="1" si="1"/>
        <v>-9.6066666666666675E-2</v>
      </c>
      <c r="Q11" s="16">
        <f t="shared" ca="1" si="1"/>
        <v>-9.6066666666666661E-2</v>
      </c>
      <c r="R11" s="15">
        <f t="shared" ca="1" si="1"/>
        <v>-9.6066666666666661E-2</v>
      </c>
      <c r="S11" s="15">
        <f t="shared" ca="1" si="1"/>
        <v>-9.6066666666666675E-2</v>
      </c>
      <c r="T11" s="15">
        <f t="shared" ca="1" si="1"/>
        <v>-9.6066666666666675E-2</v>
      </c>
      <c r="U11" s="15">
        <f t="shared" ca="1" si="1"/>
        <v>-9.6066666666666675E-2</v>
      </c>
    </row>
    <row r="12" spans="1:21" ht="15.75" customHeight="1">
      <c r="A12" s="2" t="s">
        <v>31</v>
      </c>
      <c r="B12" s="15"/>
      <c r="C12" s="15"/>
      <c r="D12" s="15"/>
      <c r="E12" s="15"/>
      <c r="F12" s="17">
        <f ca="1">(ScenarioParameters!$B$4*F10)*(1/1000)</f>
        <v>1114.779425916</v>
      </c>
      <c r="G12" s="17">
        <f ca="1">(ScenarioParameters!$B$4*G10)*(1/1000)</f>
        <v>2848.1817503634388</v>
      </c>
      <c r="H12" s="17">
        <f ca="1">(ScenarioParameters!$B$4*H10)*(1/1000)</f>
        <v>2210.3362234700189</v>
      </c>
      <c r="I12" s="17">
        <f ca="1">(ScenarioParameters!$B$4*I10)*(1/1000)</f>
        <v>4260.0026530907508</v>
      </c>
      <c r="J12" s="17">
        <f ca="1">(ScenarioParameters!$B$4*J10)*(1/1000)</f>
        <v>2338.7502840911025</v>
      </c>
      <c r="K12" s="17">
        <f ca="1">(ScenarioParameters!$B$4*K10)*(1/1000)</f>
        <v>4656.3791131713215</v>
      </c>
      <c r="L12" s="17">
        <f ca="1">(ScenarioParameters!$B$4*L10)*(1/1000)</f>
        <v>3143.561531020061</v>
      </c>
      <c r="M12" s="17">
        <f ca="1">(ScenarioParameters!$B$4*M10)*(1/1000)</f>
        <v>5592.3060131087514</v>
      </c>
      <c r="N12" s="17">
        <f ca="1">(ScenarioParameters!$B$4*N10)*(1/1000)</f>
        <v>2963.9854181894389</v>
      </c>
      <c r="O12" s="17">
        <f ca="1">(ScenarioParameters!$B$4*O10)*(1/1000)</f>
        <v>5818.1794950209833</v>
      </c>
      <c r="P12" s="17">
        <f ca="1">(ScenarioParameters!$B$4*P10)*(1/1000)</f>
        <v>3863.2954812319877</v>
      </c>
      <c r="Q12" s="17">
        <f ca="1">(ScenarioParameters!$B$4*Q10)*(1/1000)</f>
        <v>6797.2219722994878</v>
      </c>
      <c r="R12" s="17">
        <f ca="1">(ScenarioParameters!$B$4*R10)*(1/1000)</f>
        <v>3630.7470346944096</v>
      </c>
      <c r="S12" s="17">
        <f ca="1">(ScenarioParameters!$B$4*S10)*(1/1000)</f>
        <v>7057.3172995691675</v>
      </c>
      <c r="T12" s="17">
        <f ca="1">(ScenarioParameters!$B$4*T10)*(1/1000)</f>
        <v>4644.4938569071746</v>
      </c>
      <c r="U12" s="17">
        <f ca="1">(ScenarioParameters!$B$4*U10)*(1/1000)</f>
        <v>8105.5512501757203</v>
      </c>
    </row>
    <row r="13" spans="1:21" ht="15.75" customHeight="1">
      <c r="A13" s="1" t="s">
        <v>32</v>
      </c>
      <c r="B13" s="15"/>
      <c r="C13" s="15"/>
      <c r="D13" s="15"/>
      <c r="E13" s="15"/>
      <c r="F13" s="21">
        <f t="shared" ref="F13:U13" ca="1" si="2">F$10</f>
        <v>3728.3592840000001</v>
      </c>
      <c r="G13" s="21">
        <f t="shared" ca="1" si="2"/>
        <v>9525.6914727874209</v>
      </c>
      <c r="H13" s="21">
        <f t="shared" ca="1" si="2"/>
        <v>7392.4288410368517</v>
      </c>
      <c r="I13" s="21">
        <f t="shared" ca="1" si="2"/>
        <v>14247.500512009201</v>
      </c>
      <c r="J13" s="14">
        <f t="shared" ca="1" si="2"/>
        <v>7821.9073046525164</v>
      </c>
      <c r="K13" s="14">
        <f t="shared" ca="1" si="2"/>
        <v>15573.17429154288</v>
      </c>
      <c r="L13" s="14">
        <f t="shared" ca="1" si="2"/>
        <v>10513.583715786157</v>
      </c>
      <c r="M13" s="14">
        <f t="shared" ca="1" si="2"/>
        <v>18703.364592336959</v>
      </c>
      <c r="N13" s="21">
        <f t="shared" ca="1" si="2"/>
        <v>9912.9947096636752</v>
      </c>
      <c r="O13" s="21">
        <f t="shared" ca="1" si="2"/>
        <v>19458.79429772904</v>
      </c>
      <c r="P13" s="21">
        <f t="shared" ca="1" si="2"/>
        <v>12920.72067301668</v>
      </c>
      <c r="Q13" s="21">
        <f t="shared" ca="1" si="2"/>
        <v>22733.183853844439</v>
      </c>
      <c r="R13" s="14">
        <f t="shared" ca="1" si="2"/>
        <v>12142.966671218761</v>
      </c>
      <c r="S13" s="14">
        <f t="shared" ca="1" si="2"/>
        <v>23603.067891535677</v>
      </c>
      <c r="T13" s="14">
        <f t="shared" ca="1" si="2"/>
        <v>15533.424270592559</v>
      </c>
      <c r="U13" s="14">
        <f t="shared" ca="1" si="2"/>
        <v>27108.86705744388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0.29900000000000004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0.29899999999999999</v>
      </c>
      <c r="M14" s="15">
        <f t="shared" ca="1" si="3"/>
        <v>0.29900000000000004</v>
      </c>
      <c r="N14" s="16">
        <f t="shared" ca="1" si="3"/>
        <v>0.29899999999999999</v>
      </c>
      <c r="O14" s="16">
        <f t="shared" ca="1" si="3"/>
        <v>0.29899999999999999</v>
      </c>
      <c r="P14" s="16">
        <f t="shared" ca="1" si="3"/>
        <v>0.29900000000000004</v>
      </c>
      <c r="Q14" s="16">
        <f t="shared" ca="1" si="3"/>
        <v>0.29900000000000004</v>
      </c>
      <c r="R14" s="15">
        <f t="shared" ca="1" si="3"/>
        <v>0.29899999999999999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543.58437736640008</v>
      </c>
      <c r="G16" s="20">
        <f t="shared" ca="1" si="4"/>
        <v>1723.0803228776606</v>
      </c>
      <c r="H16" s="20">
        <f t="shared" ca="1" si="4"/>
        <v>1290.1702261410787</v>
      </c>
      <c r="I16" s="20">
        <f t="shared" ca="1" si="4"/>
        <v>2681.2927705704001</v>
      </c>
      <c r="J16" s="19">
        <f t="shared" ca="1" si="4"/>
        <v>1377.3257223574842</v>
      </c>
      <c r="K16" s="19">
        <f t="shared" ca="1" si="4"/>
        <v>2950.3161695637691</v>
      </c>
      <c r="L16" s="19">
        <f t="shared" ca="1" si="4"/>
        <v>1923.5565887235375</v>
      </c>
      <c r="M16" s="19">
        <f t="shared" ca="1" si="4"/>
        <v>3585.5361212715807</v>
      </c>
      <c r="N16" s="20">
        <f t="shared" ca="1" si="4"/>
        <v>1801.6770597477484</v>
      </c>
      <c r="O16" s="20">
        <f t="shared" ca="1" si="4"/>
        <v>3738.8379894858135</v>
      </c>
      <c r="P16" s="20">
        <f t="shared" ca="1" si="4"/>
        <v>2412.0449152441852</v>
      </c>
      <c r="Q16" s="20">
        <f t="shared" ca="1" si="4"/>
        <v>4403.3207767401655</v>
      </c>
      <c r="R16" s="19">
        <f t="shared" ca="1" si="4"/>
        <v>2254.2127031459941</v>
      </c>
      <c r="S16" s="19">
        <f t="shared" ca="1" si="4"/>
        <v>4579.8492441223061</v>
      </c>
      <c r="T16" s="19">
        <f t="shared" ca="1" si="4"/>
        <v>2942.2495653122496</v>
      </c>
      <c r="U16" s="19">
        <f t="shared" ca="1" si="4"/>
        <v>5291.2927548572779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507.14166835228565</v>
      </c>
      <c r="G17" s="20">
        <f ca="1">G16/(1+(ScenarioParameters!$B$8/100)/4)^F3</f>
        <v>1579.9139488824301</v>
      </c>
      <c r="H17" s="20">
        <f ca="1">H16/(1+(ScenarioParameters!$B$8/100)/4)^G3</f>
        <v>1162.6272768039978</v>
      </c>
      <c r="I17" s="20">
        <f ca="1">I16/(1+(ScenarioParameters!$B$8/100)/4)^H3</f>
        <v>2374.6702528749547</v>
      </c>
      <c r="J17" s="19">
        <f ca="1">J16/(1+(ScenarioParameters!$B$8/100)/4)^I3</f>
        <v>1198.8402486579591</v>
      </c>
      <c r="K17" s="19">
        <f ca="1">K16/(1+(ScenarioParameters!$B$8/100)/4)^J3</f>
        <v>2523.8224454744727</v>
      </c>
      <c r="L17" s="19">
        <f ca="1">L16/(1+(ScenarioParameters!$B$8/100)/4)^K3</f>
        <v>1617.1890359237389</v>
      </c>
      <c r="M17" s="19">
        <f ca="1">M16/(1+(ScenarioParameters!$B$8/100)/4)^L3</f>
        <v>2962.6169630270356</v>
      </c>
      <c r="N17" s="20">
        <f ca="1">N16/(1+(ScenarioParameters!$B$8/100)/4)^M3</f>
        <v>1463.0660543987267</v>
      </c>
      <c r="O17" s="20">
        <f ca="1">O16/(1+(ScenarioParameters!$B$8/100)/4)^N3</f>
        <v>2983.9340079580325</v>
      </c>
      <c r="P17" s="20">
        <f ca="1">P16/(1+(ScenarioParameters!$B$8/100)/4)^O3</f>
        <v>1891.9233622220738</v>
      </c>
      <c r="Q17" s="20">
        <f ca="1">Q16/(1+(ScenarioParameters!$B$8/100)/4)^P3</f>
        <v>3394.4081069435274</v>
      </c>
      <c r="R17" s="19">
        <f ca="1">R16/(1+(ScenarioParameters!$B$8/100)/4)^Q3</f>
        <v>1707.8283023882684</v>
      </c>
      <c r="S17" s="19">
        <f ca="1">S16/(1+(ScenarioParameters!$B$8/100)/4)^R3</f>
        <v>3410.0918614199886</v>
      </c>
      <c r="T17" s="19">
        <f ca="1">T16/(1+(ScenarioParameters!$B$8/100)/4)^S3</f>
        <v>2153.0790997243625</v>
      </c>
      <c r="U17" s="19">
        <f ca="1">U16/(1+(ScenarioParameters!$B$8/100)/4)^T3</f>
        <v>3805.4660399901841</v>
      </c>
    </row>
    <row r="18" spans="1:21" ht="15.75" customHeight="1"/>
    <row r="19" spans="1:21" ht="15.75" customHeight="1">
      <c r="A19" s="2" t="s">
        <v>36</v>
      </c>
      <c r="B19" s="20">
        <f ca="1">SUM(B17:U17)</f>
        <v>34674.810517763035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38</v>
      </c>
      <c r="B1" s="4">
        <v>-0.2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21">
        <f ca="1">ScenarioParameters!$G3+ScenarioParameters!$G3*$B$1</f>
        <v>2485.5728559999998</v>
      </c>
      <c r="G10" s="21">
        <f ca="1">ScenarioParameters!$G4+ScenarioParameters!$G4*$B$1</f>
        <v>6350.4609818582803</v>
      </c>
      <c r="H10" s="21">
        <f ca="1">ScenarioParameters!$G5+ScenarioParameters!$G5*$B$1</f>
        <v>4928.2858940245678</v>
      </c>
      <c r="I10" s="21">
        <f ca="1">ScenarioParameters!$G6+ScenarioParameters!$G6*$B$1</f>
        <v>9498.3336746728</v>
      </c>
      <c r="J10" s="21">
        <f ca="1">ScenarioParameters!$G7+ScenarioParameters!$G7*$B$1</f>
        <v>5214.6048697683445</v>
      </c>
      <c r="K10" s="21">
        <f ca="1">ScenarioParameters!$G8+ScenarioParameters!$G8*$B$1</f>
        <v>10382.116194361919</v>
      </c>
      <c r="L10" s="21">
        <f ca="1">ScenarioParameters!$G9+ScenarioParameters!$G9*$B$1</f>
        <v>7009.0558105241043</v>
      </c>
      <c r="M10" s="21">
        <f ca="1">ScenarioParameters!$G10+ScenarioParameters!$G10*$B$1</f>
        <v>12468.90972822464</v>
      </c>
      <c r="N10" s="21">
        <f ca="1">ScenarioParameters!$G11+ScenarioParameters!$G11*$B$1</f>
        <v>6608.6631397757837</v>
      </c>
      <c r="O10" s="21">
        <f ca="1">ScenarioParameters!$G12+ScenarioParameters!$G12*$B$1</f>
        <v>12972.52953181936</v>
      </c>
      <c r="P10" s="21">
        <f ca="1">ScenarioParameters!$G13+ScenarioParameters!$G13*$B$1</f>
        <v>8613.8137820111187</v>
      </c>
      <c r="Q10" s="21">
        <f ca="1">ScenarioParameters!$G14+ScenarioParameters!$G14*$B$1</f>
        <v>15155.455902562961</v>
      </c>
      <c r="R10" s="21">
        <f ca="1">ScenarioParameters!$G15+ScenarioParameters!$G15*$B$1</f>
        <v>8095.3111141458403</v>
      </c>
      <c r="S10" s="21">
        <f ca="1">ScenarioParameters!$G16+ScenarioParameters!$G16*$B$1</f>
        <v>15735.378594357118</v>
      </c>
      <c r="T10" s="21">
        <f ca="1">ScenarioParameters!$G17+ScenarioParameters!$G17*$B$1</f>
        <v>10355.61618039504</v>
      </c>
      <c r="U10" s="21">
        <f ca="1">ScenarioParameters!$G18+ScenarioParameters!$G18*$B$1</f>
        <v>18072.57803829592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-0.14410000000000001</v>
      </c>
      <c r="G11" s="16">
        <f t="shared" ca="1" si="1"/>
        <v>-0.14410000000000001</v>
      </c>
      <c r="H11" s="16">
        <f t="shared" ca="1" si="1"/>
        <v>-0.14410000000000001</v>
      </c>
      <c r="I11" s="16">
        <f t="shared" ca="1" si="1"/>
        <v>-0.14410000000000003</v>
      </c>
      <c r="J11" s="15">
        <f t="shared" ca="1" si="1"/>
        <v>-0.14409999999999998</v>
      </c>
      <c r="K11" s="15">
        <f t="shared" ca="1" si="1"/>
        <v>-0.14410000000000001</v>
      </c>
      <c r="L11" s="15">
        <f t="shared" ca="1" si="1"/>
        <v>-0.14410000000000001</v>
      </c>
      <c r="M11" s="15">
        <f t="shared" ca="1" si="1"/>
        <v>-0.14410000000000001</v>
      </c>
      <c r="N11" s="16">
        <f t="shared" ca="1" si="1"/>
        <v>-0.14410000000000001</v>
      </c>
      <c r="O11" s="16">
        <f t="shared" ca="1" si="1"/>
        <v>-0.14410000000000001</v>
      </c>
      <c r="P11" s="16">
        <f t="shared" ca="1" si="1"/>
        <v>-0.14410000000000003</v>
      </c>
      <c r="Q11" s="16">
        <f t="shared" ca="1" si="1"/>
        <v>-0.14409999999999998</v>
      </c>
      <c r="R11" s="15">
        <f t="shared" ca="1" si="1"/>
        <v>-0.14410000000000001</v>
      </c>
      <c r="S11" s="15">
        <f t="shared" ca="1" si="1"/>
        <v>-0.14410000000000001</v>
      </c>
      <c r="T11" s="15">
        <f t="shared" ca="1" si="1"/>
        <v>-0.14410000000000001</v>
      </c>
      <c r="U11" s="15">
        <f t="shared" ca="1" si="1"/>
        <v>-0.14410000000000001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7">
        <f ca="1">(ScenarioParameters!$B$4*F10)*(1/1000)</f>
        <v>743.18628394399991</v>
      </c>
      <c r="G12" s="17">
        <f ca="1">(ScenarioParameters!$B$4*G10)*(1/1000)</f>
        <v>1898.7878335756259</v>
      </c>
      <c r="H12" s="17">
        <f ca="1">(ScenarioParameters!$B$4*H10)*(1/1000)</f>
        <v>1473.5574823133459</v>
      </c>
      <c r="I12" s="17">
        <f ca="1">(ScenarioParameters!$B$4*I10)*(1/1000)</f>
        <v>2840.001768727167</v>
      </c>
      <c r="J12" s="17">
        <f ca="1">(ScenarioParameters!$B$4*J10)*(1/1000)</f>
        <v>1559.166856060735</v>
      </c>
      <c r="K12" s="17">
        <f ca="1">(ScenarioParameters!$B$4*K10)*(1/1000)</f>
        <v>3104.252742114214</v>
      </c>
      <c r="L12" s="17">
        <f ca="1">(ScenarioParameters!$B$4*L10)*(1/1000)</f>
        <v>2095.7076873467072</v>
      </c>
      <c r="M12" s="17">
        <f ca="1">(ScenarioParameters!$B$4*M10)*(1/1000)</f>
        <v>3728.2040087391674</v>
      </c>
      <c r="N12" s="17">
        <f ca="1">(ScenarioParameters!$B$4*N10)*(1/1000)</f>
        <v>1975.9902787929595</v>
      </c>
      <c r="O12" s="17">
        <f ca="1">(ScenarioParameters!$B$4*O10)*(1/1000)</f>
        <v>3878.7863300139888</v>
      </c>
      <c r="P12" s="17">
        <f ca="1">(ScenarioParameters!$B$4*P10)*(1/1000)</f>
        <v>2575.5303208213245</v>
      </c>
      <c r="Q12" s="17">
        <f ca="1">(ScenarioParameters!$B$4*Q10)*(1/1000)</f>
        <v>4531.4813148663252</v>
      </c>
      <c r="R12" s="17">
        <f ca="1">(ScenarioParameters!$B$4*R10)*(1/1000)</f>
        <v>2420.4980231296063</v>
      </c>
      <c r="S12" s="17">
        <f ca="1">(ScenarioParameters!$B$4*S10)*(1/1000)</f>
        <v>4704.878199712779</v>
      </c>
      <c r="T12" s="17">
        <f ca="1">(ScenarioParameters!$B$4*T10)*(1/1000)</f>
        <v>3096.3292379381169</v>
      </c>
      <c r="U12" s="17">
        <f ca="1">(ScenarioParameters!$B$4*U10)*(1/1000)</f>
        <v>5403.7008334504808</v>
      </c>
    </row>
    <row r="13" spans="1:21" ht="15.75" customHeight="1">
      <c r="A13" s="1" t="s">
        <v>32</v>
      </c>
      <c r="B13" s="15"/>
      <c r="C13" s="15"/>
      <c r="D13" s="15"/>
      <c r="E13" s="15"/>
      <c r="F13" s="21">
        <f t="shared" ref="F13:U13" ca="1" si="2">F$10</f>
        <v>2485.5728559999998</v>
      </c>
      <c r="G13" s="21">
        <f t="shared" ca="1" si="2"/>
        <v>6350.4609818582803</v>
      </c>
      <c r="H13" s="21">
        <f t="shared" ca="1" si="2"/>
        <v>4928.2858940245678</v>
      </c>
      <c r="I13" s="21">
        <f t="shared" ca="1" si="2"/>
        <v>9498.3336746728</v>
      </c>
      <c r="J13" s="14">
        <f t="shared" ca="1" si="2"/>
        <v>5214.6048697683445</v>
      </c>
      <c r="K13" s="14">
        <f t="shared" ca="1" si="2"/>
        <v>10382.116194361919</v>
      </c>
      <c r="L13" s="14">
        <f t="shared" ca="1" si="2"/>
        <v>7009.0558105241043</v>
      </c>
      <c r="M13" s="14">
        <f t="shared" ca="1" si="2"/>
        <v>12468.90972822464</v>
      </c>
      <c r="N13" s="21">
        <f t="shared" ca="1" si="2"/>
        <v>6608.6631397757837</v>
      </c>
      <c r="O13" s="21">
        <f t="shared" ca="1" si="2"/>
        <v>12972.52953181936</v>
      </c>
      <c r="P13" s="21">
        <f t="shared" ca="1" si="2"/>
        <v>8613.8137820111187</v>
      </c>
      <c r="Q13" s="21">
        <f t="shared" ca="1" si="2"/>
        <v>15155.455902562961</v>
      </c>
      <c r="R13" s="14">
        <f t="shared" ca="1" si="2"/>
        <v>8095.3111141458403</v>
      </c>
      <c r="S13" s="14">
        <f t="shared" ca="1" si="2"/>
        <v>15735.378594357118</v>
      </c>
      <c r="T13" s="14">
        <f t="shared" ca="1" si="2"/>
        <v>10355.61618039504</v>
      </c>
      <c r="U13" s="14">
        <f t="shared" ca="1" si="2"/>
        <v>18072.57803829592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0.29900000000000004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0.29900000000000004</v>
      </c>
      <c r="L14" s="15">
        <f t="shared" ca="1" si="3"/>
        <v>0.29899999999999999</v>
      </c>
      <c r="M14" s="15">
        <f t="shared" ca="1" si="3"/>
        <v>0.29899999999999999</v>
      </c>
      <c r="N14" s="16">
        <f t="shared" ca="1" si="3"/>
        <v>0.29900000000000004</v>
      </c>
      <c r="O14" s="16">
        <f t="shared" ca="1" si="3"/>
        <v>0.29899999999999999</v>
      </c>
      <c r="P14" s="16">
        <f t="shared" ca="1" si="3"/>
        <v>0.29899999999999999</v>
      </c>
      <c r="Q14" s="16">
        <f t="shared" ca="1" si="3"/>
        <v>0.29899999999999999</v>
      </c>
      <c r="R14" s="15">
        <f t="shared" ca="1" si="3"/>
        <v>0.29899999999999999</v>
      </c>
      <c r="S14" s="15">
        <f t="shared" ca="1" si="3"/>
        <v>0.29900000000000004</v>
      </c>
      <c r="T14" s="15">
        <f t="shared" ca="1" si="3"/>
        <v>0.29899999999999999</v>
      </c>
      <c r="U14" s="15">
        <f t="shared" ca="1" si="3"/>
        <v>0.29900000000000004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171.99123539439995</v>
      </c>
      <c r="G16" s="20">
        <f t="shared" ca="1" si="4"/>
        <v>773.68640608984765</v>
      </c>
      <c r="H16" s="20">
        <f t="shared" ca="1" si="4"/>
        <v>553.39148498440568</v>
      </c>
      <c r="I16" s="20">
        <f t="shared" ca="1" si="4"/>
        <v>1261.2918862068163</v>
      </c>
      <c r="J16" s="19">
        <f t="shared" ca="1" si="4"/>
        <v>597.74229432711661</v>
      </c>
      <c r="K16" s="19">
        <f t="shared" ca="1" si="4"/>
        <v>1398.1897985066614</v>
      </c>
      <c r="L16" s="19">
        <f t="shared" ca="1" si="4"/>
        <v>875.70274505018369</v>
      </c>
      <c r="M16" s="19">
        <f t="shared" ca="1" si="4"/>
        <v>1721.4341169019967</v>
      </c>
      <c r="N16" s="20">
        <f t="shared" ca="1" si="4"/>
        <v>813.68192035126913</v>
      </c>
      <c r="O16" s="20">
        <f t="shared" ca="1" si="4"/>
        <v>1799.4448244788191</v>
      </c>
      <c r="P16" s="20">
        <f t="shared" ca="1" si="4"/>
        <v>1124.279754833522</v>
      </c>
      <c r="Q16" s="20">
        <f t="shared" ca="1" si="4"/>
        <v>2137.5801193070029</v>
      </c>
      <c r="R16" s="19">
        <f t="shared" ca="1" si="4"/>
        <v>1043.9636915811907</v>
      </c>
      <c r="S16" s="19">
        <f t="shared" ca="1" si="4"/>
        <v>2227.410144265918</v>
      </c>
      <c r="T16" s="19">
        <f t="shared" ca="1" si="4"/>
        <v>1394.0849463431916</v>
      </c>
      <c r="U16" s="19">
        <f t="shared" ca="1" si="4"/>
        <v>2589.4423381320385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160.46068594258711</v>
      </c>
      <c r="G17" s="20">
        <f ca="1">G16/(1+(ScenarioParameters!$B$8/100)/4)^F3</f>
        <v>709.4027648117102</v>
      </c>
      <c r="H17" s="20">
        <f ca="1">H16/(1+(ScenarioParameters!$B$8/100)/4)^G3</f>
        <v>498.68460933122344</v>
      </c>
      <c r="I17" s="20">
        <f ca="1">I16/(1+(ScenarioParameters!$B$8/100)/4)^H3</f>
        <v>1117.0553082611343</v>
      </c>
      <c r="J17" s="19">
        <f ca="1">J16/(1+(ScenarioParameters!$B$8/100)/4)^I3</f>
        <v>520.28181070919322</v>
      </c>
      <c r="K17" s="19">
        <f ca="1">K16/(1+(ScenarioParameters!$B$8/100)/4)^J3</f>
        <v>1196.0693680590527</v>
      </c>
      <c r="L17" s="19">
        <f ca="1">L16/(1+(ScenarioParameters!$B$8/100)/4)^K3</f>
        <v>736.22834198147825</v>
      </c>
      <c r="M17" s="19">
        <f ca="1">M16/(1+(ScenarioParameters!$B$8/100)/4)^L3</f>
        <v>1422.3674627655587</v>
      </c>
      <c r="N17" s="20">
        <f ca="1">N16/(1+(ScenarioParameters!$B$8/100)/4)^M3</f>
        <v>660.75681560300677</v>
      </c>
      <c r="O17" s="20">
        <f ca="1">O16/(1+(ScenarioParameters!$B$8/100)/4)^N3</f>
        <v>1436.1212286560869</v>
      </c>
      <c r="P17" s="20">
        <f ca="1">P16/(1+(ScenarioParameters!$B$8/100)/4)^O3</f>
        <v>881.84557443347285</v>
      </c>
      <c r="Q17" s="20">
        <f ca="1">Q16/(1+(ScenarioParameters!$B$8/100)/4)^P3</f>
        <v>1647.8062022064582</v>
      </c>
      <c r="R17" s="19">
        <f ca="1">R16/(1+(ScenarioParameters!$B$8/100)/4)^Q3</f>
        <v>790.92391621245531</v>
      </c>
      <c r="S17" s="19">
        <f ca="1">S16/(1+(ScenarioParameters!$B$8/100)/4)^R3</f>
        <v>1658.4985225777193</v>
      </c>
      <c r="T17" s="19">
        <f ca="1">T16/(1+(ScenarioParameters!$B$8/100)/4)^S3</f>
        <v>1020.1633459646173</v>
      </c>
      <c r="U17" s="19">
        <f ca="1">U16/(1+(ScenarioParameters!$B$8/100)/4)^T3</f>
        <v>1862.3114117487617</v>
      </c>
    </row>
    <row r="18" spans="1:21" ht="15.75" customHeight="1"/>
    <row r="19" spans="1:21" ht="15.75" customHeight="1">
      <c r="A19" s="2" t="s">
        <v>36</v>
      </c>
      <c r="B19" s="20">
        <f ca="1">SUM(B17:U17)</f>
        <v>16257.169211985512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38</v>
      </c>
      <c r="B1" s="4">
        <v>0.3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21">
        <f ca="1">ScenarioParameters!$G3+ScenarioParameters!$G3*$B$1</f>
        <v>4039.055891</v>
      </c>
      <c r="G10" s="21">
        <f ca="1">ScenarioParameters!$G4+ScenarioParameters!$G4*$B$1</f>
        <v>10319.499095519704</v>
      </c>
      <c r="H10" s="21">
        <f ca="1">ScenarioParameters!$G5+ScenarioParameters!$G5*$B$1</f>
        <v>8008.4645777899223</v>
      </c>
      <c r="I10" s="21">
        <f ca="1">ScenarioParameters!$G6+ScenarioParameters!$G6*$B$1</f>
        <v>15434.792221343301</v>
      </c>
      <c r="J10" s="21">
        <f ca="1">ScenarioParameters!$G7+ScenarioParameters!$G7*$B$1</f>
        <v>8473.7329133735602</v>
      </c>
      <c r="K10" s="21">
        <f ca="1">ScenarioParameters!$G8+ScenarioParameters!$G8*$B$1</f>
        <v>16870.938815838119</v>
      </c>
      <c r="L10" s="21">
        <f ca="1">ScenarioParameters!$G9+ScenarioParameters!$G9*$B$1</f>
        <v>11389.715692101669</v>
      </c>
      <c r="M10" s="21">
        <f ca="1">ScenarioParameters!$G10+ScenarioParameters!$G10*$B$1</f>
        <v>20261.97830836504</v>
      </c>
      <c r="N10" s="21">
        <f ca="1">ScenarioParameters!$G11+ScenarioParameters!$G11*$B$1</f>
        <v>10739.077602135649</v>
      </c>
      <c r="O10" s="21">
        <f ca="1">ScenarioParameters!$G12+ScenarioParameters!$G12*$B$1</f>
        <v>21080.360489206461</v>
      </c>
      <c r="P10" s="21">
        <f ca="1">ScenarioParameters!$G13+ScenarioParameters!$G13*$B$1</f>
        <v>13997.447395768069</v>
      </c>
      <c r="Q10" s="21">
        <f ca="1">ScenarioParameters!$G14+ScenarioParameters!$G14*$B$1</f>
        <v>24627.61584166481</v>
      </c>
      <c r="R10" s="21">
        <f ca="1">ScenarioParameters!$G15+ScenarioParameters!$G15*$B$1</f>
        <v>13154.88056048699</v>
      </c>
      <c r="S10" s="21">
        <f ca="1">ScenarioParameters!$G16+ScenarioParameters!$G16*$B$1</f>
        <v>25569.990215830316</v>
      </c>
      <c r="T10" s="21">
        <f ca="1">ScenarioParameters!$G17+ScenarioParameters!$G17*$B$1</f>
        <v>16827.876293141941</v>
      </c>
      <c r="U10" s="21">
        <f ca="1">ScenarioParameters!$G18+ScenarioParameters!$G18*$B$1</f>
        <v>29367.939312230868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-8.8676923076923084E-2</v>
      </c>
      <c r="G11" s="16">
        <f t="shared" ca="1" si="1"/>
        <v>-8.8676923076923084E-2</v>
      </c>
      <c r="H11" s="16">
        <f t="shared" ca="1" si="1"/>
        <v>-8.8676923076923084E-2</v>
      </c>
      <c r="I11" s="16">
        <f t="shared" ca="1" si="1"/>
        <v>-8.8676923076923084E-2</v>
      </c>
      <c r="J11" s="15">
        <f t="shared" ca="1" si="1"/>
        <v>-8.867692307692307E-2</v>
      </c>
      <c r="K11" s="15">
        <f t="shared" ca="1" si="1"/>
        <v>-8.8676923076923084E-2</v>
      </c>
      <c r="L11" s="15">
        <f t="shared" ca="1" si="1"/>
        <v>-8.8676923076923084E-2</v>
      </c>
      <c r="M11" s="15">
        <f t="shared" ca="1" si="1"/>
        <v>-8.8676923076923084E-2</v>
      </c>
      <c r="N11" s="16">
        <f t="shared" ca="1" si="1"/>
        <v>-8.867692307692307E-2</v>
      </c>
      <c r="O11" s="16">
        <f t="shared" ca="1" si="1"/>
        <v>-8.867692307692307E-2</v>
      </c>
      <c r="P11" s="16">
        <f t="shared" ca="1" si="1"/>
        <v>-8.8676923076923084E-2</v>
      </c>
      <c r="Q11" s="16">
        <f t="shared" ca="1" si="1"/>
        <v>-8.867692307692307E-2</v>
      </c>
      <c r="R11" s="15">
        <f t="shared" ca="1" si="1"/>
        <v>-8.8676923076923084E-2</v>
      </c>
      <c r="S11" s="15">
        <f t="shared" ca="1" si="1"/>
        <v>-8.8676923076923084E-2</v>
      </c>
      <c r="T11" s="15">
        <f t="shared" ca="1" si="1"/>
        <v>-8.867692307692307E-2</v>
      </c>
      <c r="U11" s="15">
        <f t="shared" ca="1" si="1"/>
        <v>-8.8676923076923084E-2</v>
      </c>
    </row>
    <row r="12" spans="1:21" ht="15.75" customHeight="1">
      <c r="A12" s="2" t="s">
        <v>31</v>
      </c>
      <c r="B12" s="15"/>
      <c r="C12" s="15"/>
      <c r="D12" s="15"/>
      <c r="E12" s="15"/>
      <c r="F12" s="17">
        <f ca="1">(ScenarioParameters!$B$4*F10)*(1/1000)</f>
        <v>1207.677711409</v>
      </c>
      <c r="G12" s="17">
        <f ca="1">(ScenarioParameters!$B$4*G10)*(1/1000)</f>
        <v>3085.5302295603915</v>
      </c>
      <c r="H12" s="17">
        <f ca="1">(ScenarioParameters!$B$4*H10)*(1/1000)</f>
        <v>2394.5309087591872</v>
      </c>
      <c r="I12" s="17">
        <f ca="1">(ScenarioParameters!$B$4*I10)*(1/1000)</f>
        <v>4615.0028741816468</v>
      </c>
      <c r="J12" s="17">
        <f ca="1">(ScenarioParameters!$B$4*J10)*(1/1000)</f>
        <v>2533.6461410986944</v>
      </c>
      <c r="K12" s="17">
        <f ca="1">(ScenarioParameters!$B$4*K10)*(1/1000)</f>
        <v>5044.4107059355974</v>
      </c>
      <c r="L12" s="17">
        <f ca="1">(ScenarioParameters!$B$4*L10)*(1/1000)</f>
        <v>3405.5249919383987</v>
      </c>
      <c r="M12" s="17">
        <f ca="1">(ScenarioParameters!$B$4*M10)*(1/1000)</f>
        <v>6058.331514201147</v>
      </c>
      <c r="N12" s="17">
        <f ca="1">(ScenarioParameters!$B$4*N10)*(1/1000)</f>
        <v>3210.9842030385589</v>
      </c>
      <c r="O12" s="17">
        <f ca="1">(ScenarioParameters!$B$4*O10)*(1/1000)</f>
        <v>6303.0277862727316</v>
      </c>
      <c r="P12" s="17">
        <f ca="1">(ScenarioParameters!$B$4*P10)*(1/1000)</f>
        <v>4185.236771334653</v>
      </c>
      <c r="Q12" s="17">
        <f ca="1">(ScenarioParameters!$B$4*Q10)*(1/1000)</f>
        <v>7363.6571366577782</v>
      </c>
      <c r="R12" s="17">
        <f ca="1">(ScenarioParameters!$B$4*R10)*(1/1000)</f>
        <v>3933.30928758561</v>
      </c>
      <c r="S12" s="17">
        <f ca="1">(ScenarioParameters!$B$4*S10)*(1/1000)</f>
        <v>7645.4270745332642</v>
      </c>
      <c r="T12" s="17">
        <f ca="1">(ScenarioParameters!$B$4*T10)*(1/1000)</f>
        <v>5031.5350116494401</v>
      </c>
      <c r="U12" s="17">
        <f ca="1">(ScenarioParameters!$B$4*U10)*(1/1000)</f>
        <v>8781.0138543570301</v>
      </c>
    </row>
    <row r="13" spans="1:21" ht="15.75" customHeight="1">
      <c r="A13" s="1" t="s">
        <v>32</v>
      </c>
      <c r="B13" s="15"/>
      <c r="C13" s="15"/>
      <c r="D13" s="15"/>
      <c r="E13" s="15"/>
      <c r="F13" s="21">
        <f t="shared" ref="F13:U13" ca="1" si="2">F$10</f>
        <v>4039.055891</v>
      </c>
      <c r="G13" s="21">
        <f t="shared" ca="1" si="2"/>
        <v>10319.499095519704</v>
      </c>
      <c r="H13" s="21">
        <f t="shared" ca="1" si="2"/>
        <v>8008.4645777899223</v>
      </c>
      <c r="I13" s="21">
        <f t="shared" ca="1" si="2"/>
        <v>15434.792221343301</v>
      </c>
      <c r="J13" s="14">
        <f t="shared" ca="1" si="2"/>
        <v>8473.7329133735602</v>
      </c>
      <c r="K13" s="14">
        <f t="shared" ca="1" si="2"/>
        <v>16870.938815838119</v>
      </c>
      <c r="L13" s="14">
        <f t="shared" ca="1" si="2"/>
        <v>11389.715692101669</v>
      </c>
      <c r="M13" s="14">
        <f t="shared" ca="1" si="2"/>
        <v>20261.97830836504</v>
      </c>
      <c r="N13" s="21">
        <f t="shared" ca="1" si="2"/>
        <v>10739.077602135649</v>
      </c>
      <c r="O13" s="21">
        <f t="shared" ca="1" si="2"/>
        <v>21080.360489206461</v>
      </c>
      <c r="P13" s="21">
        <f t="shared" ca="1" si="2"/>
        <v>13997.447395768069</v>
      </c>
      <c r="Q13" s="21">
        <f t="shared" ca="1" si="2"/>
        <v>24627.61584166481</v>
      </c>
      <c r="R13" s="14">
        <f t="shared" ca="1" si="2"/>
        <v>13154.88056048699</v>
      </c>
      <c r="S13" s="14">
        <f t="shared" ca="1" si="2"/>
        <v>25569.990215830316</v>
      </c>
      <c r="T13" s="14">
        <f t="shared" ca="1" si="2"/>
        <v>16827.876293141941</v>
      </c>
      <c r="U13" s="14">
        <f t="shared" ca="1" si="2"/>
        <v>29367.939312230868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0.29900000000000004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0.29899999999999999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0.29899999999999999</v>
      </c>
      <c r="P14" s="16">
        <f t="shared" ca="1" si="3"/>
        <v>0.29900000000000004</v>
      </c>
      <c r="Q14" s="16">
        <f t="shared" ca="1" si="3"/>
        <v>0.29899999999999999</v>
      </c>
      <c r="R14" s="15">
        <f t="shared" ca="1" si="3"/>
        <v>0.29899999999999999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0.29900000000000004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636.48266285940008</v>
      </c>
      <c r="G16" s="20">
        <f t="shared" ca="1" si="4"/>
        <v>1960.4288020746133</v>
      </c>
      <c r="H16" s="20">
        <f t="shared" ca="1" si="4"/>
        <v>1474.364911430247</v>
      </c>
      <c r="I16" s="20">
        <f t="shared" ca="1" si="4"/>
        <v>3036.2929916612961</v>
      </c>
      <c r="J16" s="19">
        <f t="shared" ca="1" si="4"/>
        <v>1572.2215793650762</v>
      </c>
      <c r="K16" s="19">
        <f t="shared" ca="1" si="4"/>
        <v>3338.3477623280451</v>
      </c>
      <c r="L16" s="19">
        <f t="shared" ca="1" si="4"/>
        <v>2185.5200496418752</v>
      </c>
      <c r="M16" s="19">
        <f t="shared" ca="1" si="4"/>
        <v>4051.5616223639763</v>
      </c>
      <c r="N16" s="20">
        <f t="shared" ca="1" si="4"/>
        <v>2048.6758445968685</v>
      </c>
      <c r="O16" s="20">
        <f t="shared" ca="1" si="4"/>
        <v>4223.6862807375619</v>
      </c>
      <c r="P16" s="20">
        <f t="shared" ca="1" si="4"/>
        <v>2733.9862053468505</v>
      </c>
      <c r="Q16" s="20">
        <f t="shared" ca="1" si="4"/>
        <v>4969.7559410984559</v>
      </c>
      <c r="R16" s="19">
        <f t="shared" ca="1" si="4"/>
        <v>2556.7749560371944</v>
      </c>
      <c r="S16" s="19">
        <f t="shared" ca="1" si="4"/>
        <v>5167.9590190864037</v>
      </c>
      <c r="T16" s="19">
        <f t="shared" ca="1" si="4"/>
        <v>3329.2907200545151</v>
      </c>
      <c r="U16" s="19">
        <f t="shared" ca="1" si="4"/>
        <v>5966.7553590385878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593.81191395471023</v>
      </c>
      <c r="G17" s="20">
        <f ca="1">G16/(1+(ScenarioParameters!$B$8/100)/4)^F3</f>
        <v>1797.5417449001097</v>
      </c>
      <c r="H17" s="20">
        <f ca="1">H16/(1+(ScenarioParameters!$B$8/100)/4)^G3</f>
        <v>1328.6129436721915</v>
      </c>
      <c r="I17" s="20">
        <f ca="1">I16/(1+(ScenarioParameters!$B$8/100)/4)^H3</f>
        <v>2689.0739890284103</v>
      </c>
      <c r="J17" s="19">
        <f ca="1">J16/(1+(ScenarioParameters!$B$8/100)/4)^I3</f>
        <v>1368.4798581451505</v>
      </c>
      <c r="K17" s="19">
        <f ca="1">K16/(1+(ScenarioParameters!$B$8/100)/4)^J3</f>
        <v>2855.7607148283273</v>
      </c>
      <c r="L17" s="19">
        <f ca="1">L16/(1+(ScenarioParameters!$B$8/100)/4)^K3</f>
        <v>1837.4292094093032</v>
      </c>
      <c r="M17" s="19">
        <f ca="1">M16/(1+(ScenarioParameters!$B$8/100)/4)^L3</f>
        <v>3347.6793380924046</v>
      </c>
      <c r="N17" s="20">
        <f ca="1">N16/(1+(ScenarioParameters!$B$8/100)/4)^M3</f>
        <v>1663.643364097657</v>
      </c>
      <c r="O17" s="20">
        <f ca="1">O16/(1+(ScenarioParameters!$B$8/100)/4)^N3</f>
        <v>3370.8872027835187</v>
      </c>
      <c r="P17" s="20">
        <f ca="1">P16/(1+(ScenarioParameters!$B$8/100)/4)^O3</f>
        <v>2144.4428091692239</v>
      </c>
      <c r="Q17" s="20">
        <f ca="1">Q16/(1+(ScenarioParameters!$B$8/100)/4)^P3</f>
        <v>3831.0585831277949</v>
      </c>
      <c r="R17" s="19">
        <f ca="1">R16/(1+(ScenarioParameters!$B$8/100)/4)^Q3</f>
        <v>1937.0543989322211</v>
      </c>
      <c r="S17" s="19">
        <f ca="1">S16/(1+(ScenarioParameters!$B$8/100)/4)^R3</f>
        <v>3847.9901961305563</v>
      </c>
      <c r="T17" s="19">
        <f ca="1">T16/(1+(ScenarioParameters!$B$8/100)/4)^S3</f>
        <v>2436.3080381642999</v>
      </c>
      <c r="U17" s="19">
        <f ca="1">U16/(1+(ScenarioParameters!$B$8/100)/4)^T3</f>
        <v>4291.25469705054</v>
      </c>
    </row>
    <row r="18" spans="1:21" ht="15.75" customHeight="1"/>
    <row r="19" spans="1:21" ht="15.75" customHeight="1">
      <c r="A19" s="2" t="s">
        <v>36</v>
      </c>
      <c r="B19" s="20">
        <f ca="1">SUM(B17:U17)</f>
        <v>39279.220844207412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38</v>
      </c>
      <c r="B1" s="4">
        <v>-0.3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</f>
        <v>-15.120000000000001</v>
      </c>
      <c r="C6" s="15">
        <f>(-1)*ScenarioParameters!$B$3/4*(1/1000)</f>
        <v>-15.120000000000001</v>
      </c>
      <c r="D6" s="15">
        <f>(-1)*ScenarioParameters!$B$3/4*(1/1000)</f>
        <v>-15.120000000000001</v>
      </c>
      <c r="E6" s="15">
        <f>(-1)*ScenarioParameters!$B$3/4*(1/1000)</f>
        <v>-15.120000000000001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21">
        <f ca="1">ScenarioParameters!$G3+ScenarioParameters!$G3*$B$1</f>
        <v>2174.8762489999999</v>
      </c>
      <c r="G10" s="21">
        <f ca="1">ScenarioParameters!$G4+ScenarioParameters!$G4*$B$1</f>
        <v>5556.6533591259958</v>
      </c>
      <c r="H10" s="21">
        <f ca="1">ScenarioParameters!$G5+ScenarioParameters!$G5*$B$1</f>
        <v>4312.2501572714973</v>
      </c>
      <c r="I10" s="21">
        <f ca="1">ScenarioParameters!$G6+ScenarioParameters!$G6*$B$1</f>
        <v>8311.0419653386998</v>
      </c>
      <c r="J10" s="21">
        <f ca="1">ScenarioParameters!$G7+ScenarioParameters!$G7*$B$1</f>
        <v>4562.7792610473016</v>
      </c>
      <c r="K10" s="21">
        <f ca="1">ScenarioParameters!$G8+ScenarioParameters!$G8*$B$1</f>
        <v>9084.3516700666805</v>
      </c>
      <c r="L10" s="21">
        <f ca="1">ScenarioParameters!$G9+ScenarioParameters!$G9*$B$1</f>
        <v>6132.9238342085919</v>
      </c>
      <c r="M10" s="21">
        <f ca="1">ScenarioParameters!$G10+ScenarioParameters!$G10*$B$1</f>
        <v>10910.296012196559</v>
      </c>
      <c r="N10" s="21">
        <f ca="1">ScenarioParameters!$G11+ScenarioParameters!$G11*$B$1</f>
        <v>5782.5802473038111</v>
      </c>
      <c r="O10" s="21">
        <f ca="1">ScenarioParameters!$G12+ScenarioParameters!$G12*$B$1</f>
        <v>11350.963340341939</v>
      </c>
      <c r="P10" s="21">
        <f ca="1">ScenarioParameters!$G13+ScenarioParameters!$G13*$B$1</f>
        <v>7537.0870592597294</v>
      </c>
      <c r="Q10" s="21">
        <f ca="1">ScenarioParameters!$G14+ScenarioParameters!$G14*$B$1</f>
        <v>13261.023914742589</v>
      </c>
      <c r="R10" s="21">
        <f ca="1">ScenarioParameters!$G15+ScenarioParameters!$G15*$B$1</f>
        <v>7083.3972248776099</v>
      </c>
      <c r="S10" s="21">
        <f ca="1">ScenarioParameters!$G16+ScenarioParameters!$G16*$B$1</f>
        <v>13768.456270062479</v>
      </c>
      <c r="T10" s="21">
        <f ca="1">ScenarioParameters!$G17+ScenarioParameters!$G17*$B$1</f>
        <v>9061.1641578456602</v>
      </c>
      <c r="U10" s="21">
        <f ca="1">ScenarioParameters!$G18+ScenarioParameters!$G18*$B$1</f>
        <v>15813.50578350893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-0.1646857142857143</v>
      </c>
      <c r="G11" s="16">
        <f t="shared" ca="1" si="1"/>
        <v>-0.16468571428571427</v>
      </c>
      <c r="H11" s="16">
        <f t="shared" ca="1" si="1"/>
        <v>-0.16468571428571427</v>
      </c>
      <c r="I11" s="16">
        <f t="shared" ca="1" si="1"/>
        <v>-0.16468571428571432</v>
      </c>
      <c r="J11" s="15">
        <f t="shared" ca="1" si="1"/>
        <v>-0.16468571428571427</v>
      </c>
      <c r="K11" s="15">
        <f t="shared" ca="1" si="1"/>
        <v>-0.16468571428571427</v>
      </c>
      <c r="L11" s="15">
        <f t="shared" ca="1" si="1"/>
        <v>-0.16468571428571427</v>
      </c>
      <c r="M11" s="15">
        <f t="shared" ca="1" si="1"/>
        <v>-0.1646857142857143</v>
      </c>
      <c r="N11" s="16">
        <f t="shared" ca="1" si="1"/>
        <v>-0.16468571428571427</v>
      </c>
      <c r="O11" s="16">
        <f t="shared" ca="1" si="1"/>
        <v>-0.1646857142857143</v>
      </c>
      <c r="P11" s="16">
        <f t="shared" ca="1" si="1"/>
        <v>-0.16468571428571432</v>
      </c>
      <c r="Q11" s="16">
        <f t="shared" ca="1" si="1"/>
        <v>-0.16468571428571427</v>
      </c>
      <c r="R11" s="15">
        <f t="shared" ca="1" si="1"/>
        <v>-0.1646857142857143</v>
      </c>
      <c r="S11" s="15">
        <f t="shared" ca="1" si="1"/>
        <v>-0.1646857142857143</v>
      </c>
      <c r="T11" s="15">
        <f t="shared" ca="1" si="1"/>
        <v>-0.16468571428571427</v>
      </c>
      <c r="U11" s="15">
        <f t="shared" ca="1" si="1"/>
        <v>-0.1646857142857143</v>
      </c>
    </row>
    <row r="12" spans="1:21" ht="15.75" customHeight="1">
      <c r="A12" s="2" t="s">
        <v>31</v>
      </c>
      <c r="B12" s="15"/>
      <c r="C12" s="15"/>
      <c r="D12" s="15"/>
      <c r="E12" s="15"/>
      <c r="F12" s="17">
        <f ca="1">(ScenarioParameters!$B$4*F10)*(1/1000)</f>
        <v>650.28799845100002</v>
      </c>
      <c r="G12" s="17">
        <f ca="1">(ScenarioParameters!$B$4*G10)*(1/1000)</f>
        <v>1661.4393543786728</v>
      </c>
      <c r="H12" s="17">
        <f ca="1">(ScenarioParameters!$B$4*H10)*(1/1000)</f>
        <v>1289.3627970241776</v>
      </c>
      <c r="I12" s="17">
        <f ca="1">(ScenarioParameters!$B$4*I10)*(1/1000)</f>
        <v>2485.0015476362714</v>
      </c>
      <c r="J12" s="17">
        <f ca="1">(ScenarioParameters!$B$4*J10)*(1/1000)</f>
        <v>1364.2709990531432</v>
      </c>
      <c r="K12" s="17">
        <f ca="1">(ScenarioParameters!$B$4*K10)*(1/1000)</f>
        <v>2716.2211493499376</v>
      </c>
      <c r="L12" s="17">
        <f ca="1">(ScenarioParameters!$B$4*L10)*(1/1000)</f>
        <v>1833.7442264283691</v>
      </c>
      <c r="M12" s="17">
        <f ca="1">(ScenarioParameters!$B$4*M10)*(1/1000)</f>
        <v>3262.1785076467713</v>
      </c>
      <c r="N12" s="17">
        <f ca="1">(ScenarioParameters!$B$4*N10)*(1/1000)</f>
        <v>1728.9914939438397</v>
      </c>
      <c r="O12" s="17">
        <f ca="1">(ScenarioParameters!$B$4*O10)*(1/1000)</f>
        <v>3393.93803876224</v>
      </c>
      <c r="P12" s="17">
        <f ca="1">(ScenarioParameters!$B$4*P10)*(1/1000)</f>
        <v>2253.5890307186592</v>
      </c>
      <c r="Q12" s="17">
        <f ca="1">(ScenarioParameters!$B$4*Q10)*(1/1000)</f>
        <v>3965.0461505080343</v>
      </c>
      <c r="R12" s="17">
        <f ca="1">(ScenarioParameters!$B$4*R10)*(1/1000)</f>
        <v>2117.9357702384054</v>
      </c>
      <c r="S12" s="17">
        <f ca="1">(ScenarioParameters!$B$4*S10)*(1/1000)</f>
        <v>4116.7684247486814</v>
      </c>
      <c r="T12" s="17">
        <f ca="1">(ScenarioParameters!$B$4*T10)*(1/1000)</f>
        <v>2709.2880831958528</v>
      </c>
      <c r="U12" s="17">
        <f ca="1">(ScenarioParameters!$B$4*U10)*(1/1000)</f>
        <v>4728.23822926917</v>
      </c>
    </row>
    <row r="13" spans="1:21" ht="15.75" customHeight="1">
      <c r="A13" s="1" t="s">
        <v>32</v>
      </c>
      <c r="B13" s="15"/>
      <c r="C13" s="15"/>
      <c r="D13" s="15"/>
      <c r="E13" s="15"/>
      <c r="F13" s="21">
        <f t="shared" ref="F13:U13" ca="1" si="2">F$10</f>
        <v>2174.8762489999999</v>
      </c>
      <c r="G13" s="21">
        <f t="shared" ca="1" si="2"/>
        <v>5556.6533591259958</v>
      </c>
      <c r="H13" s="21">
        <f t="shared" ca="1" si="2"/>
        <v>4312.2501572714973</v>
      </c>
      <c r="I13" s="21">
        <f t="shared" ca="1" si="2"/>
        <v>8311.0419653386998</v>
      </c>
      <c r="J13" s="14">
        <f t="shared" ca="1" si="2"/>
        <v>4562.7792610473016</v>
      </c>
      <c r="K13" s="14">
        <f t="shared" ca="1" si="2"/>
        <v>9084.3516700666805</v>
      </c>
      <c r="L13" s="14">
        <f t="shared" ca="1" si="2"/>
        <v>6132.9238342085919</v>
      </c>
      <c r="M13" s="14">
        <f t="shared" ca="1" si="2"/>
        <v>10910.296012196559</v>
      </c>
      <c r="N13" s="21">
        <f t="shared" ca="1" si="2"/>
        <v>5782.5802473038111</v>
      </c>
      <c r="O13" s="21">
        <f t="shared" ca="1" si="2"/>
        <v>11350.963340341939</v>
      </c>
      <c r="P13" s="21">
        <f t="shared" ca="1" si="2"/>
        <v>7537.0870592597294</v>
      </c>
      <c r="Q13" s="21">
        <f t="shared" ca="1" si="2"/>
        <v>13261.023914742589</v>
      </c>
      <c r="R13" s="14">
        <f t="shared" ca="1" si="2"/>
        <v>7083.3972248776099</v>
      </c>
      <c r="S13" s="14">
        <f t="shared" ca="1" si="2"/>
        <v>13768.456270062479</v>
      </c>
      <c r="T13" s="14">
        <f t="shared" ca="1" si="2"/>
        <v>9061.1641578456602</v>
      </c>
      <c r="U13" s="14">
        <f t="shared" ca="1" si="2"/>
        <v>15813.50578350893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0.29900000000000004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0.29900000000000004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0.29900000000000004</v>
      </c>
      <c r="N14" s="16">
        <f t="shared" ca="1" si="3"/>
        <v>0.29900000000000004</v>
      </c>
      <c r="O14" s="16">
        <f t="shared" ca="1" si="3"/>
        <v>0.29899999999999999</v>
      </c>
      <c r="P14" s="16">
        <f t="shared" ca="1" si="3"/>
        <v>0.29899999999999999</v>
      </c>
      <c r="Q14" s="16">
        <f t="shared" ca="1" si="3"/>
        <v>0.29899999999999999</v>
      </c>
      <c r="R14" s="15">
        <f t="shared" ca="1" si="3"/>
        <v>0.29899999999999999</v>
      </c>
      <c r="S14" s="15">
        <f t="shared" ca="1" si="3"/>
        <v>0.29899999999999999</v>
      </c>
      <c r="T14" s="15">
        <f t="shared" ca="1" si="3"/>
        <v>0.29900000000000004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-15.120000000000001</v>
      </c>
      <c r="C16" s="19">
        <f t="shared" si="4"/>
        <v>-15.120000000000001</v>
      </c>
      <c r="D16" s="19">
        <f t="shared" si="4"/>
        <v>-15.120000000000001</v>
      </c>
      <c r="E16" s="19">
        <f t="shared" si="4"/>
        <v>-18.144000000000002</v>
      </c>
      <c r="F16" s="20">
        <f t="shared" ca="1" si="4"/>
        <v>79.092949901400061</v>
      </c>
      <c r="G16" s="20">
        <f t="shared" ca="1" si="4"/>
        <v>536.33792689289453</v>
      </c>
      <c r="H16" s="20">
        <f t="shared" ca="1" si="4"/>
        <v>369.19679969523736</v>
      </c>
      <c r="I16" s="20">
        <f t="shared" ca="1" si="4"/>
        <v>906.29166511592075</v>
      </c>
      <c r="J16" s="19">
        <f t="shared" ca="1" si="4"/>
        <v>402.84643731952485</v>
      </c>
      <c r="K16" s="19">
        <f t="shared" ca="1" si="4"/>
        <v>1010.158205742385</v>
      </c>
      <c r="L16" s="19">
        <f t="shared" ca="1" si="4"/>
        <v>613.73928413184558</v>
      </c>
      <c r="M16" s="19">
        <f t="shared" ca="1" si="4"/>
        <v>1255.4086158096006</v>
      </c>
      <c r="N16" s="20">
        <f t="shared" ca="1" si="4"/>
        <v>566.6831355021493</v>
      </c>
      <c r="O16" s="20">
        <f t="shared" ca="1" si="4"/>
        <v>1314.5965332270703</v>
      </c>
      <c r="P16" s="20">
        <f t="shared" ca="1" si="4"/>
        <v>802.33846473085669</v>
      </c>
      <c r="Q16" s="20">
        <f t="shared" ca="1" si="4"/>
        <v>1571.144954948712</v>
      </c>
      <c r="R16" s="19">
        <f t="shared" ca="1" si="4"/>
        <v>741.40143868998985</v>
      </c>
      <c r="S16" s="19">
        <f t="shared" ca="1" si="4"/>
        <v>1639.3003693018204</v>
      </c>
      <c r="T16" s="19">
        <f t="shared" ca="1" si="4"/>
        <v>1007.0437916009275</v>
      </c>
      <c r="U16" s="19">
        <f t="shared" ca="1" si="4"/>
        <v>1913.9797339507277</v>
      </c>
    </row>
    <row r="17" spans="1:21" ht="15.75" customHeight="1">
      <c r="A17" s="2" t="s">
        <v>35</v>
      </c>
      <c r="B17" s="19">
        <f>B16</f>
        <v>-15.120000000000001</v>
      </c>
      <c r="C17" s="19">
        <f>C16/(1+(ScenarioParameters!$B$8/100)/4)^B3</f>
        <v>-14.85995085995086</v>
      </c>
      <c r="D17" s="19">
        <f>D16/(1+(ScenarioParameters!$B$8/100)/4)^C3</f>
        <v>-14.604374309534014</v>
      </c>
      <c r="E17" s="19">
        <f>E16/(1+(ScenarioParameters!$B$8/100)/4)^D3</f>
        <v>-17.223832109524146</v>
      </c>
      <c r="F17" s="20">
        <f ca="1">F16/(1+(ScenarioParameters!$B$8/100)/4)^E3</f>
        <v>73.79044034016259</v>
      </c>
      <c r="G17" s="20">
        <f ca="1">G16/(1+(ScenarioParameters!$B$8/100)/4)^F3</f>
        <v>491.77496879403026</v>
      </c>
      <c r="H17" s="20">
        <f ca="1">H16/(1+(ScenarioParameters!$B$8/100)/4)^G3</f>
        <v>332.69894246302977</v>
      </c>
      <c r="I17" s="20">
        <f ca="1">I16/(1+(ScenarioParameters!$B$8/100)/4)^H3</f>
        <v>802.65157210767961</v>
      </c>
      <c r="J17" s="19">
        <f ca="1">J16/(1+(ScenarioParameters!$B$8/100)/4)^I3</f>
        <v>350.64220122200192</v>
      </c>
      <c r="K17" s="19">
        <f ca="1">K16/(1+(ScenarioParameters!$B$8/100)/4)^J3</f>
        <v>864.13109870519827</v>
      </c>
      <c r="L17" s="19">
        <f ca="1">L16/(1+(ScenarioParameters!$B$8/100)/4)^K3</f>
        <v>515.98816849591333</v>
      </c>
      <c r="M17" s="19">
        <f ca="1">M16/(1+(ScenarioParameters!$B$8/100)/4)^L3</f>
        <v>1037.3050877001892</v>
      </c>
      <c r="N17" s="20">
        <f ca="1">N16/(1+(ScenarioParameters!$B$8/100)/4)^M3</f>
        <v>460.17950590407673</v>
      </c>
      <c r="O17" s="20">
        <f ca="1">O16/(1+(ScenarioParameters!$B$8/100)/4)^N3</f>
        <v>1049.1680338306005</v>
      </c>
      <c r="P17" s="20">
        <f ca="1">P16/(1+(ScenarioParameters!$B$8/100)/4)^O3</f>
        <v>629.326127486323</v>
      </c>
      <c r="Q17" s="20">
        <f ca="1">Q16/(1+(ScenarioParameters!$B$8/100)/4)^P3</f>
        <v>1211.1557260221907</v>
      </c>
      <c r="R17" s="19">
        <f ca="1">R16/(1+(ScenarioParameters!$B$8/100)/4)^Q3</f>
        <v>561.69781966850212</v>
      </c>
      <c r="S17" s="19">
        <f ca="1">S16/(1+(ScenarioParameters!$B$8/100)/4)^R3</f>
        <v>1220.6001878671516</v>
      </c>
      <c r="T17" s="19">
        <f ca="1">T16/(1+(ScenarioParameters!$B$8/100)/4)^S3</f>
        <v>736.93440752468132</v>
      </c>
      <c r="U17" s="19">
        <f ca="1">U16/(1+(ScenarioParameters!$B$8/100)/4)^T3</f>
        <v>1376.5227546884055</v>
      </c>
    </row>
    <row r="18" spans="1:21" ht="15.75" customHeight="1"/>
    <row r="19" spans="1:21" ht="15.75" customHeight="1">
      <c r="A19" s="2" t="s">
        <v>36</v>
      </c>
      <c r="B19" s="20">
        <f ca="1">SUM(B17:U17)</f>
        <v>11652.758885541127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/>
  </sheetViews>
  <sheetFormatPr defaultColWidth="11.25" defaultRowHeight="15" customHeight="1"/>
  <cols>
    <col min="1" max="1" width="23.4140625" customWidth="1"/>
    <col min="2" max="2" width="20" customWidth="1"/>
    <col min="3" max="3" width="19.4140625" customWidth="1"/>
    <col min="4" max="4" width="19" customWidth="1"/>
    <col min="5" max="5" width="11.9140625" customWidth="1"/>
    <col min="6" max="6" width="10.58203125" customWidth="1"/>
    <col min="7" max="7" width="15.9140625" customWidth="1"/>
    <col min="8" max="26" width="10.58203125" customWidth="1"/>
  </cols>
  <sheetData>
    <row r="1" spans="1:8" ht="49.5" customHeight="1">
      <c r="A1" s="22" t="s">
        <v>40</v>
      </c>
      <c r="B1" s="22" t="s">
        <v>41</v>
      </c>
      <c r="C1" s="22" t="s">
        <v>42</v>
      </c>
      <c r="D1" s="22" t="s">
        <v>43</v>
      </c>
      <c r="E1" s="23" t="s">
        <v>44</v>
      </c>
      <c r="F1" s="23" t="s">
        <v>45</v>
      </c>
      <c r="G1" s="23" t="s">
        <v>46</v>
      </c>
      <c r="H1" s="24"/>
    </row>
    <row r="2" spans="1:8" ht="15.75" customHeight="1">
      <c r="A2" s="25">
        <f ca="1">BaseCase!B19</f>
        <v>25465.989864874267</v>
      </c>
      <c r="B2" s="26">
        <v>0.3</v>
      </c>
      <c r="C2" s="25">
        <f ca="1">SUM('+30% SalesVol'!$F$10:Z$10)</f>
        <v>250163.36522579641</v>
      </c>
      <c r="D2" s="25">
        <f t="shared" ref="D2:D8" ca="1" si="0">C2-$C$5</f>
        <v>57730.007359799172</v>
      </c>
      <c r="E2" s="27">
        <f t="shared" ref="E2:E8" ca="1" si="1">(F2-$F$5)/$F$5</f>
        <v>0.54241877314127107</v>
      </c>
      <c r="F2" s="25">
        <f ca="1">'+30% SalesVol'!$B$19</f>
        <v>39279.220844207412</v>
      </c>
      <c r="G2" s="25">
        <f t="shared" ref="G2:G8" ca="1" si="2">F2-$F$5</f>
        <v>13813.230979333144</v>
      </c>
    </row>
    <row r="3" spans="1:8" ht="15.75" customHeight="1">
      <c r="A3" s="25">
        <f t="shared" ref="A3:A8" ca="1" si="3">A2</f>
        <v>25465.989864874267</v>
      </c>
      <c r="B3" s="26">
        <v>0.2</v>
      </c>
      <c r="C3" s="25">
        <f ca="1">SUM('+20% SalesVol'!$F$10:Z$10)</f>
        <v>230920.02943919672</v>
      </c>
      <c r="D3" s="25">
        <f t="shared" ca="1" si="0"/>
        <v>38486.671573199477</v>
      </c>
      <c r="E3" s="27">
        <f t="shared" ca="1" si="1"/>
        <v>0.36161251542751427</v>
      </c>
      <c r="F3" s="25">
        <f ca="1">'+20% SalesVol'!$B$19</f>
        <v>34674.810517763035</v>
      </c>
      <c r="G3" s="25">
        <f t="shared" ca="1" si="2"/>
        <v>9208.8206528887677</v>
      </c>
    </row>
    <row r="4" spans="1:8" ht="15.75" customHeight="1">
      <c r="A4" s="25">
        <f t="shared" ca="1" si="3"/>
        <v>25465.989864874267</v>
      </c>
      <c r="B4" s="26">
        <v>0.1</v>
      </c>
      <c r="C4" s="25">
        <f ca="1">SUM('+10% SalesVol'!$F$10:Z$10)</f>
        <v>211676.69365259696</v>
      </c>
      <c r="D4" s="25">
        <f t="shared" ca="1" si="0"/>
        <v>19243.335786599724</v>
      </c>
      <c r="E4" s="27">
        <f t="shared" ca="1" si="1"/>
        <v>0.18080625771375713</v>
      </c>
      <c r="F4" s="25">
        <f ca="1">'+10% SalesVol'!$B$19</f>
        <v>30070.400191318651</v>
      </c>
      <c r="G4" s="25">
        <f t="shared" ca="1" si="2"/>
        <v>4604.4103264443838</v>
      </c>
    </row>
    <row r="5" spans="1:8" ht="15.75" customHeight="1">
      <c r="A5" s="25">
        <f t="shared" ca="1" si="3"/>
        <v>25465.989864874267</v>
      </c>
      <c r="B5" s="26">
        <v>0</v>
      </c>
      <c r="C5" s="25">
        <f ca="1">SUM(BaseCase!$F$10:Z$10)</f>
        <v>192433.35786599724</v>
      </c>
      <c r="D5" s="25">
        <f t="shared" ca="1" si="0"/>
        <v>0</v>
      </c>
      <c r="E5" s="27">
        <f t="shared" ca="1" si="1"/>
        <v>0</v>
      </c>
      <c r="F5" s="25">
        <f ca="1">BaseCase!B19</f>
        <v>25465.989864874267</v>
      </c>
      <c r="G5" s="25">
        <f t="shared" ca="1" si="2"/>
        <v>0</v>
      </c>
    </row>
    <row r="6" spans="1:8" ht="15.75" customHeight="1">
      <c r="A6" s="25">
        <f t="shared" ca="1" si="3"/>
        <v>25465.989864874267</v>
      </c>
      <c r="B6" s="26">
        <v>-0.1</v>
      </c>
      <c r="C6" s="25">
        <f ca="1">SUM('-10% SalesVol'!$F$10:Z$10)</f>
        <v>173190.02207939749</v>
      </c>
      <c r="D6" s="25">
        <f t="shared" ca="1" si="0"/>
        <v>-19243.335786599753</v>
      </c>
      <c r="E6" s="27">
        <f t="shared" ca="1" si="1"/>
        <v>-0.18080625771375713</v>
      </c>
      <c r="F6" s="25">
        <f ca="1">'-10% SalesVol'!$B$19</f>
        <v>20861.579538429884</v>
      </c>
      <c r="G6" s="25">
        <f t="shared" ca="1" si="2"/>
        <v>-4604.4103264443838</v>
      </c>
    </row>
    <row r="7" spans="1:8" ht="15.75" customHeight="1">
      <c r="A7" s="25">
        <f t="shared" ca="1" si="3"/>
        <v>25465.989864874267</v>
      </c>
      <c r="B7" s="26">
        <v>-0.2</v>
      </c>
      <c r="C7" s="25">
        <f ca="1">SUM('-20% SalesVol'!$F$10:Z$10)</f>
        <v>153946.68629279779</v>
      </c>
      <c r="D7" s="25">
        <f t="shared" ca="1" si="0"/>
        <v>-38486.671573199448</v>
      </c>
      <c r="E7" s="27">
        <f t="shared" ca="1" si="1"/>
        <v>-0.36161251542751377</v>
      </c>
      <c r="F7" s="25">
        <f ca="1">'-20% SalesVol'!$B$19</f>
        <v>16257.169211985512</v>
      </c>
      <c r="G7" s="25">
        <f t="shared" ca="1" si="2"/>
        <v>-9208.8206528887549</v>
      </c>
    </row>
    <row r="8" spans="1:8" ht="15.75" customHeight="1">
      <c r="A8" s="25">
        <f t="shared" ca="1" si="3"/>
        <v>25465.989864874267</v>
      </c>
      <c r="B8" s="26">
        <v>-0.3</v>
      </c>
      <c r="C8" s="25">
        <f ca="1">SUM('-30% SalesVol'!$F$10:Z$10)</f>
        <v>134703.35050619807</v>
      </c>
      <c r="D8" s="25">
        <f t="shared" ca="1" si="0"/>
        <v>-57730.007359799172</v>
      </c>
      <c r="E8" s="27">
        <f t="shared" ca="1" si="1"/>
        <v>-0.54241877314127096</v>
      </c>
      <c r="F8" s="25">
        <f ca="1">'-30% SalesVol'!$B$19</f>
        <v>11652.758885541127</v>
      </c>
      <c r="G8" s="25">
        <f t="shared" ca="1" si="2"/>
        <v>-13813.230979333141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/>
  </sheetViews>
  <sheetFormatPr defaultColWidth="11.25" defaultRowHeight="15" customHeight="1"/>
  <cols>
    <col min="1" max="1" width="23.4140625" customWidth="1"/>
    <col min="2" max="2" width="20" customWidth="1"/>
    <col min="3" max="3" width="29.4140625" customWidth="1"/>
    <col min="4" max="4" width="20.75" customWidth="1"/>
    <col min="5" max="6" width="10.58203125" customWidth="1"/>
    <col min="7" max="7" width="14.08203125" customWidth="1"/>
    <col min="8" max="26" width="10.58203125" customWidth="1"/>
  </cols>
  <sheetData>
    <row r="1" spans="1:8" ht="49.5" customHeight="1">
      <c r="A1" s="23" t="s">
        <v>47</v>
      </c>
      <c r="B1" s="23" t="s">
        <v>48</v>
      </c>
      <c r="C1" s="22" t="s">
        <v>49</v>
      </c>
      <c r="D1" s="22" t="s">
        <v>50</v>
      </c>
      <c r="E1" s="22" t="s">
        <v>45</v>
      </c>
      <c r="F1" s="23" t="s">
        <v>44</v>
      </c>
      <c r="G1" s="23" t="s">
        <v>46</v>
      </c>
      <c r="H1" s="24"/>
    </row>
    <row r="2" spans="1:8" ht="15.75" customHeight="1">
      <c r="A2" s="25">
        <f>ScenarioParameters!$B$3</f>
        <v>60480</v>
      </c>
      <c r="B2" s="26">
        <v>0.3</v>
      </c>
      <c r="C2" s="25">
        <f t="shared" ref="C2:C8" si="0">A2*(1+B2)</f>
        <v>78624</v>
      </c>
      <c r="D2" s="25">
        <f t="shared" ref="D2:D8" si="1">C2-A2</f>
        <v>18144</v>
      </c>
      <c r="E2" s="25">
        <f ca="1">'+30% DevCost'!$B$19</f>
        <v>25448.308609296044</v>
      </c>
      <c r="F2" s="27">
        <f t="shared" ref="F2:F8" ca="1" si="2">(E2-$E$5)/$E$5</f>
        <v>-6.9430859244201605E-4</v>
      </c>
      <c r="G2" s="25">
        <f ca="1">E2-$E$5*1</f>
        <v>-17.681255578223499</v>
      </c>
    </row>
    <row r="3" spans="1:8" ht="15.75" customHeight="1">
      <c r="A3" s="25">
        <f>ScenarioParameters!$B$3</f>
        <v>60480</v>
      </c>
      <c r="B3" s="26">
        <v>0.2</v>
      </c>
      <c r="C3" s="25">
        <f t="shared" si="0"/>
        <v>72576</v>
      </c>
      <c r="D3" s="25">
        <f t="shared" si="1"/>
        <v>12096</v>
      </c>
      <c r="E3" s="25">
        <f ca="1">'+20% DevCost'!$B$19</f>
        <v>25454.202361155454</v>
      </c>
      <c r="F3" s="27">
        <f t="shared" ca="1" si="2"/>
        <v>-4.6287239496124879E-4</v>
      </c>
      <c r="G3" s="25">
        <f t="shared" ref="G3:G8" ca="1" si="3">E3-$E$5</f>
        <v>-11.787503718813241</v>
      </c>
    </row>
    <row r="4" spans="1:8" ht="15.75" customHeight="1">
      <c r="A4" s="25">
        <f>ScenarioParameters!$B$3</f>
        <v>60480</v>
      </c>
      <c r="B4" s="26">
        <v>0.1</v>
      </c>
      <c r="C4" s="25">
        <f t="shared" si="0"/>
        <v>66528</v>
      </c>
      <c r="D4" s="25">
        <f t="shared" si="1"/>
        <v>6048</v>
      </c>
      <c r="E4" s="25">
        <f ca="1">'+10% DevCost'!$B$19</f>
        <v>25460.096113014857</v>
      </c>
      <c r="F4" s="27">
        <f t="shared" ca="1" si="2"/>
        <v>-2.3143619748076726E-4</v>
      </c>
      <c r="G4" s="25">
        <f t="shared" ca="1" si="3"/>
        <v>-5.8937518594102585</v>
      </c>
    </row>
    <row r="5" spans="1:8" ht="15.75" customHeight="1">
      <c r="A5" s="25">
        <f>ScenarioParameters!$B$3</f>
        <v>60480</v>
      </c>
      <c r="B5" s="26">
        <v>0</v>
      </c>
      <c r="C5" s="25">
        <f t="shared" si="0"/>
        <v>60480</v>
      </c>
      <c r="D5" s="25">
        <f t="shared" si="1"/>
        <v>0</v>
      </c>
      <c r="E5" s="25">
        <f ca="1">BaseCase!B19</f>
        <v>25465.989864874267</v>
      </c>
      <c r="F5" s="27">
        <f t="shared" ca="1" si="2"/>
        <v>0</v>
      </c>
      <c r="G5" s="25">
        <f t="shared" ca="1" si="3"/>
        <v>0</v>
      </c>
    </row>
    <row r="6" spans="1:8" ht="15.75" customHeight="1">
      <c r="A6" s="25">
        <f>ScenarioParameters!$B$3</f>
        <v>60480</v>
      </c>
      <c r="B6" s="26">
        <v>-0.1</v>
      </c>
      <c r="C6" s="25">
        <f t="shared" si="0"/>
        <v>54432</v>
      </c>
      <c r="D6" s="25">
        <f t="shared" si="1"/>
        <v>-6048</v>
      </c>
      <c r="E6" s="25">
        <f ca="1">'-10% DevCost'!$B$19</f>
        <v>25471.883616733678</v>
      </c>
      <c r="F6" s="27">
        <f t="shared" ca="1" si="2"/>
        <v>2.3143619748076726E-4</v>
      </c>
      <c r="G6" s="25">
        <f t="shared" ca="1" si="3"/>
        <v>5.8937518594102585</v>
      </c>
    </row>
    <row r="7" spans="1:8" ht="15.75" customHeight="1">
      <c r="A7" s="25">
        <f>ScenarioParameters!$B$3</f>
        <v>60480</v>
      </c>
      <c r="B7" s="26">
        <v>-0.2</v>
      </c>
      <c r="C7" s="25">
        <f t="shared" si="0"/>
        <v>48384</v>
      </c>
      <c r="D7" s="25">
        <f t="shared" si="1"/>
        <v>-12096</v>
      </c>
      <c r="E7" s="25">
        <f ca="1">'-20% DevCost'!$B$19</f>
        <v>25477.777368593088</v>
      </c>
      <c r="F7" s="27">
        <f t="shared" ca="1" si="2"/>
        <v>4.6287239496153453E-4</v>
      </c>
      <c r="G7" s="25">
        <f t="shared" ca="1" si="3"/>
        <v>11.787503718820517</v>
      </c>
    </row>
    <row r="8" spans="1:8" ht="15.75" customHeight="1">
      <c r="A8" s="25">
        <f>ScenarioParameters!$B$3</f>
        <v>60480</v>
      </c>
      <c r="B8" s="26">
        <v>-0.3</v>
      </c>
      <c r="C8" s="25">
        <f t="shared" si="0"/>
        <v>42336</v>
      </c>
      <c r="D8" s="25">
        <f t="shared" si="1"/>
        <v>-18144</v>
      </c>
      <c r="E8" s="25">
        <f ca="1">'-30% DevCost'!$B$19</f>
        <v>25483.671120452498</v>
      </c>
      <c r="F8" s="27">
        <f t="shared" ca="1" si="2"/>
        <v>6.9430859244230174E-4</v>
      </c>
      <c r="G8" s="25">
        <f t="shared" ca="1" si="3"/>
        <v>17.681255578230775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39</v>
      </c>
      <c r="B1" s="4">
        <v>0.1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(-1)*ScenarioParameters!$B$3/4*(1/1000)*(1+$B$1)</f>
        <v>-16.632000000000001</v>
      </c>
      <c r="C6" s="15">
        <f>(-1)*ScenarioParameters!$B$3/4*(1/1000)*(1+$B$1)</f>
        <v>-16.632000000000001</v>
      </c>
      <c r="D6" s="15">
        <f>(-1)*ScenarioParameters!$B$3/4*(1/1000)*(1+$B$1)</f>
        <v>-16.632000000000001</v>
      </c>
      <c r="E6" s="15">
        <f>(-1)*ScenarioParameters!$B$3/4*(1/1000)*(1+$B$1)</f>
        <v>-16.632000000000001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-16.632000000000001</v>
      </c>
      <c r="C16" s="19">
        <f t="shared" si="4"/>
        <v>-16.632000000000001</v>
      </c>
      <c r="D16" s="19">
        <f t="shared" si="4"/>
        <v>-16.632000000000001</v>
      </c>
      <c r="E16" s="19">
        <f t="shared" si="4"/>
        <v>-19.656000000000002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-16.632000000000001</v>
      </c>
      <c r="C17" s="19">
        <f>C16/(1+(ScenarioParameters!$B$8/100)/4)^B3</f>
        <v>-16.345945945945946</v>
      </c>
      <c r="D17" s="19">
        <f>D16/(1+(ScenarioParameters!$B$8/100)/4)^C3</f>
        <v>-16.064811740487418</v>
      </c>
      <c r="E17" s="19">
        <f>E16/(1+(ScenarioParameters!$B$8/100)/4)^D3</f>
        <v>-18.659151451984492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25460.096113014857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39</v>
      </c>
      <c r="B1" s="4">
        <v>-0.1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(-1)*ScenarioParameters!$B$3/4*(1/1000)*(1+$B$1)</f>
        <v>-13.608000000000001</v>
      </c>
      <c r="C6" s="15">
        <f>(-1)*ScenarioParameters!$B$3/4*(1/1000)*(1+$B$1)</f>
        <v>-13.608000000000001</v>
      </c>
      <c r="D6" s="15">
        <f>(-1)*ScenarioParameters!$B$3/4*(1/1000)*(1+$B$1)</f>
        <v>-13.608000000000001</v>
      </c>
      <c r="E6" s="15">
        <f>(-1)*ScenarioParameters!$B$3/4*(1/1000)*(1+$B$1)</f>
        <v>-13.608000000000001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-13.608000000000001</v>
      </c>
      <c r="C16" s="19">
        <f t="shared" si="4"/>
        <v>-13.608000000000001</v>
      </c>
      <c r="D16" s="19">
        <f t="shared" si="4"/>
        <v>-13.608000000000001</v>
      </c>
      <c r="E16" s="19">
        <f t="shared" si="4"/>
        <v>-16.632000000000001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-13.608000000000001</v>
      </c>
      <c r="C17" s="19">
        <f>C16/(1+(ScenarioParameters!$B$8/100)/4)^B3</f>
        <v>-13.373955773955773</v>
      </c>
      <c r="D17" s="19">
        <f>D16/(1+(ScenarioParameters!$B$8/100)/4)^C3</f>
        <v>-13.143936878580613</v>
      </c>
      <c r="E17" s="19">
        <f>E16/(1+(ScenarioParameters!$B$8/100)/4)^D3</f>
        <v>-15.7885127670638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25471.883616733678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39</v>
      </c>
      <c r="B1" s="4">
        <v>-0.2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(-1)*ScenarioParameters!$B$3/4*(1/1000)*(1+$B$1)</f>
        <v>-12.096000000000002</v>
      </c>
      <c r="C6" s="15">
        <f>(-1)*ScenarioParameters!$B$3/4*(1/1000)*(1+$B$1)</f>
        <v>-12.096000000000002</v>
      </c>
      <c r="D6" s="15">
        <f>(-1)*ScenarioParameters!$B$3/4*(1/1000)*(1+$B$1)</f>
        <v>-12.096000000000002</v>
      </c>
      <c r="E6" s="15">
        <f>(-1)*ScenarioParameters!$B$3/4*(1/1000)*(1+$B$1)</f>
        <v>-12.096000000000002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-12.096000000000002</v>
      </c>
      <c r="C16" s="19">
        <f t="shared" si="4"/>
        <v>-12.096000000000002</v>
      </c>
      <c r="D16" s="19">
        <f t="shared" si="4"/>
        <v>-12.096000000000002</v>
      </c>
      <c r="E16" s="19">
        <f t="shared" si="4"/>
        <v>-15.120000000000001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-12.096000000000002</v>
      </c>
      <c r="C17" s="19">
        <f>C16/(1+(ScenarioParameters!$B$8/100)/4)^B3</f>
        <v>-11.887960687960689</v>
      </c>
      <c r="D17" s="19">
        <f>D16/(1+(ScenarioParameters!$B$8/100)/4)^C3</f>
        <v>-11.683499447627213</v>
      </c>
      <c r="E17" s="19">
        <f>E16/(1+(ScenarioParameters!$B$8/100)/4)^D3</f>
        <v>-14.353193424603454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25477.777368593088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39</v>
      </c>
      <c r="B1" s="4">
        <v>0.2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(-1)*ScenarioParameters!$B$3/4*(1/1000)*(1+$B$1)</f>
        <v>-18.144000000000002</v>
      </c>
      <c r="C6" s="15">
        <f>(-1)*ScenarioParameters!$B$3/4*(1/1000)*(1+$B$1)</f>
        <v>-18.144000000000002</v>
      </c>
      <c r="D6" s="15">
        <f>(-1)*ScenarioParameters!$B$3/4*(1/1000)*(1+$B$1)</f>
        <v>-18.144000000000002</v>
      </c>
      <c r="E6" s="15">
        <f>(-1)*ScenarioParameters!$B$3/4*(1/1000)*(1+$B$1)</f>
        <v>-18.144000000000002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-18.144000000000002</v>
      </c>
      <c r="C16" s="19">
        <f t="shared" si="4"/>
        <v>-18.144000000000002</v>
      </c>
      <c r="D16" s="19">
        <f t="shared" si="4"/>
        <v>-18.144000000000002</v>
      </c>
      <c r="E16" s="19">
        <f t="shared" si="4"/>
        <v>-21.168000000000003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-18.144000000000002</v>
      </c>
      <c r="C17" s="19">
        <f>C16/(1+(ScenarioParameters!$B$8/100)/4)^B3</f>
        <v>-17.831941031941032</v>
      </c>
      <c r="D17" s="19">
        <f>D16/(1+(ScenarioParameters!$B$8/100)/4)^C3</f>
        <v>-17.525249171440819</v>
      </c>
      <c r="E17" s="19">
        <f>E16/(1+(ScenarioParameters!$B$8/100)/4)^D3</f>
        <v>-20.094470794444838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25454.202361155454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39</v>
      </c>
      <c r="B1" s="4">
        <v>0.3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(-1)*ScenarioParameters!$B$3/4*(1/1000)*(1+$B$1)</f>
        <v>-19.656000000000002</v>
      </c>
      <c r="C6" s="15">
        <f>(-1)*ScenarioParameters!$B$3/4*(1/1000)*(1+$B$1)</f>
        <v>-19.656000000000002</v>
      </c>
      <c r="D6" s="15">
        <f>(-1)*ScenarioParameters!$B$3/4*(1/1000)*(1+$B$1)</f>
        <v>-19.656000000000002</v>
      </c>
      <c r="E6" s="15">
        <f>(-1)*ScenarioParameters!$B$3/4*(1/1000)*(1+$B$1)</f>
        <v>-19.656000000000002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-19.656000000000002</v>
      </c>
      <c r="C16" s="19">
        <f t="shared" si="4"/>
        <v>-19.656000000000002</v>
      </c>
      <c r="D16" s="19">
        <f t="shared" si="4"/>
        <v>-19.656000000000002</v>
      </c>
      <c r="E16" s="19">
        <f t="shared" si="4"/>
        <v>-22.680000000000003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-19.656000000000002</v>
      </c>
      <c r="C17" s="19">
        <f>C16/(1+(ScenarioParameters!$B$8/100)/4)^B3</f>
        <v>-19.317936117936117</v>
      </c>
      <c r="D17" s="19">
        <f>D16/(1+(ScenarioParameters!$B$8/100)/4)^C3</f>
        <v>-18.985686602394221</v>
      </c>
      <c r="E17" s="19">
        <f>E16/(1+(ScenarioParameters!$B$8/100)/4)^D3</f>
        <v>-21.529790136905184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25448.308609296044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000"/>
  <sheetViews>
    <sheetView workbookViewId="0"/>
  </sheetViews>
  <sheetFormatPr defaultColWidth="11.25" defaultRowHeight="15" customHeight="1"/>
  <cols>
    <col min="1" max="1" width="24.4140625" customWidth="1"/>
    <col min="2" max="26" width="10.58203125" customWidth="1"/>
  </cols>
  <sheetData>
    <row r="1" spans="1:21" ht="15.75" customHeight="1">
      <c r="A1" s="1" t="s">
        <v>39</v>
      </c>
      <c r="B1" s="4">
        <v>-0.3</v>
      </c>
    </row>
    <row r="2" spans="1:21" ht="15.75" customHeight="1">
      <c r="B2" s="34" t="s">
        <v>3</v>
      </c>
      <c r="C2" s="32"/>
      <c r="D2" s="32"/>
      <c r="E2" s="32"/>
      <c r="F2" s="35" t="s">
        <v>5</v>
      </c>
      <c r="G2" s="32"/>
      <c r="H2" s="32"/>
      <c r="I2" s="32"/>
      <c r="J2" s="34" t="s">
        <v>6</v>
      </c>
      <c r="K2" s="32"/>
      <c r="L2" s="32"/>
      <c r="M2" s="32"/>
      <c r="N2" s="35" t="s">
        <v>7</v>
      </c>
      <c r="O2" s="32"/>
      <c r="P2" s="32"/>
      <c r="Q2" s="32"/>
      <c r="R2" s="34" t="s">
        <v>9</v>
      </c>
      <c r="S2" s="32"/>
      <c r="T2" s="32"/>
      <c r="U2" s="32"/>
    </row>
    <row r="3" spans="1:21" ht="15.75" customHeight="1">
      <c r="A3" s="2" t="s">
        <v>10</v>
      </c>
      <c r="B3" s="6">
        <v>1</v>
      </c>
      <c r="C3" s="6">
        <f t="shared" ref="C3:U3" si="0">B3+1</f>
        <v>2</v>
      </c>
      <c r="D3" s="6">
        <f t="shared" si="0"/>
        <v>3</v>
      </c>
      <c r="E3" s="6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6">
        <f t="shared" si="0"/>
        <v>9</v>
      </c>
      <c r="K3" s="6">
        <f t="shared" si="0"/>
        <v>10</v>
      </c>
      <c r="L3" s="6">
        <f t="shared" si="0"/>
        <v>11</v>
      </c>
      <c r="M3" s="6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  <c r="R3" s="6">
        <f t="shared" si="0"/>
        <v>17</v>
      </c>
      <c r="S3" s="6">
        <f t="shared" si="0"/>
        <v>18</v>
      </c>
      <c r="T3" s="6">
        <f t="shared" si="0"/>
        <v>19</v>
      </c>
      <c r="U3" s="6">
        <f t="shared" si="0"/>
        <v>20</v>
      </c>
    </row>
    <row r="4" spans="1:21" ht="15.75" customHeight="1">
      <c r="A4" s="2" t="s">
        <v>19</v>
      </c>
      <c r="B4" s="6" t="s">
        <v>20</v>
      </c>
      <c r="C4" s="6" t="s">
        <v>21</v>
      </c>
      <c r="D4" s="6" t="s">
        <v>22</v>
      </c>
      <c r="E4" s="6" t="s">
        <v>24</v>
      </c>
      <c r="F4" s="1" t="s">
        <v>20</v>
      </c>
      <c r="G4" s="2" t="s">
        <v>21</v>
      </c>
      <c r="H4" s="2" t="s">
        <v>22</v>
      </c>
      <c r="I4" s="2" t="s">
        <v>24</v>
      </c>
      <c r="J4" s="6" t="s">
        <v>20</v>
      </c>
      <c r="K4" s="6" t="s">
        <v>21</v>
      </c>
      <c r="L4" s="6" t="s">
        <v>22</v>
      </c>
      <c r="M4" s="6" t="s">
        <v>24</v>
      </c>
      <c r="N4" s="2" t="s">
        <v>20</v>
      </c>
      <c r="O4" s="2" t="s">
        <v>21</v>
      </c>
      <c r="P4" s="2" t="s">
        <v>22</v>
      </c>
      <c r="Q4" s="2" t="s">
        <v>24</v>
      </c>
      <c r="R4" s="6" t="s">
        <v>20</v>
      </c>
      <c r="S4" s="6" t="s">
        <v>21</v>
      </c>
      <c r="T4" s="6" t="s">
        <v>22</v>
      </c>
      <c r="U4" s="6" t="s">
        <v>24</v>
      </c>
    </row>
    <row r="5" spans="1:21" ht="15.75" customHeight="1">
      <c r="B5" s="6"/>
      <c r="C5" s="6"/>
      <c r="D5" s="6"/>
      <c r="E5" s="6"/>
      <c r="J5" s="6"/>
      <c r="K5" s="6"/>
      <c r="L5" s="6"/>
      <c r="M5" s="6"/>
      <c r="R5" s="6"/>
      <c r="S5" s="6"/>
      <c r="T5" s="6"/>
      <c r="U5" s="6"/>
    </row>
    <row r="6" spans="1:21" ht="15.75" customHeight="1">
      <c r="A6" s="2" t="s">
        <v>25</v>
      </c>
      <c r="B6" s="15">
        <f>(-1)*ScenarioParameters!$B$3/4*(1/1000)*(1+$B$1)</f>
        <v>-10.584</v>
      </c>
      <c r="C6" s="15">
        <f>(-1)*ScenarioParameters!$B$3/4*(1/1000)*(1+$B$1)</f>
        <v>-10.584</v>
      </c>
      <c r="D6" s="15">
        <f>(-1)*ScenarioParameters!$B$3/4*(1/1000)*(1+$B$1)</f>
        <v>-10.584</v>
      </c>
      <c r="E6" s="15">
        <f>(-1)*ScenarioParameters!$B$3/4*(1/1000)*(1+$B$1)</f>
        <v>-10.584</v>
      </c>
      <c r="F6" s="16"/>
      <c r="G6" s="16"/>
      <c r="H6" s="16"/>
      <c r="I6" s="16"/>
      <c r="J6" s="15"/>
      <c r="K6" s="15"/>
      <c r="L6" s="15"/>
      <c r="M6" s="15"/>
      <c r="N6" s="16"/>
      <c r="O6" s="16"/>
      <c r="P6" s="16"/>
      <c r="Q6" s="16"/>
      <c r="R6" s="15"/>
      <c r="S6" s="15"/>
      <c r="T6" s="15"/>
      <c r="U6" s="15"/>
    </row>
    <row r="7" spans="1:21" ht="15.75" customHeight="1">
      <c r="A7" s="2" t="s">
        <v>26</v>
      </c>
      <c r="B7" s="15"/>
      <c r="C7" s="15"/>
      <c r="D7" s="15"/>
      <c r="E7" s="15">
        <f>(-1)*ScenarioParameters!$B$6/2*(1/1000)</f>
        <v>-3.024</v>
      </c>
      <c r="F7" s="16">
        <f>(-1)*ScenarioParameters!$B$6/2*(1/1000)</f>
        <v>-3.024</v>
      </c>
      <c r="G7" s="16"/>
      <c r="H7" s="16"/>
      <c r="I7" s="16"/>
      <c r="J7" s="15"/>
      <c r="K7" s="15"/>
      <c r="L7" s="15"/>
      <c r="M7" s="15"/>
      <c r="N7" s="16"/>
      <c r="O7" s="16"/>
      <c r="P7" s="16"/>
      <c r="Q7" s="16"/>
      <c r="R7" s="15"/>
      <c r="S7" s="15"/>
      <c r="T7" s="15"/>
      <c r="U7" s="15"/>
    </row>
    <row r="8" spans="1:21" ht="15.75" customHeight="1">
      <c r="A8" s="2" t="s">
        <v>27</v>
      </c>
      <c r="B8" s="15"/>
      <c r="C8" s="15"/>
      <c r="D8" s="15"/>
      <c r="E8" s="15"/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5">
        <f>(-1)*ScenarioParameters!$B$7/4*(1/1000)</f>
        <v>-210</v>
      </c>
      <c r="K8" s="15">
        <f>(-1)*ScenarioParameters!$B$7/4*(1/1000)</f>
        <v>-210</v>
      </c>
      <c r="L8" s="15">
        <f>(-1)*ScenarioParameters!$B$7/4*(1/1000)</f>
        <v>-210</v>
      </c>
      <c r="M8" s="15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5">
        <f>(-1)*ScenarioParameters!$B$7/4*(1/1000)</f>
        <v>-210</v>
      </c>
      <c r="S8" s="15">
        <f>(-1)*ScenarioParameters!$B$7/4*(1/1000)</f>
        <v>-210</v>
      </c>
      <c r="T8" s="15">
        <f>(-1)*ScenarioParameters!$B$7/4*(1/1000)</f>
        <v>-210</v>
      </c>
      <c r="U8" s="15">
        <f>(-1)*ScenarioParameters!$B$7/4*(1/1000)</f>
        <v>-210</v>
      </c>
    </row>
    <row r="9" spans="1:21" ht="15.75" customHeight="1">
      <c r="A9" s="1" t="s">
        <v>28</v>
      </c>
      <c r="B9" s="15"/>
      <c r="C9" s="15"/>
      <c r="D9" s="15"/>
      <c r="E9" s="15"/>
      <c r="F9" s="16">
        <f ca="1">(-1)*(ScenarioParameters!$B$5)*ScenarioParameters!$G3*(1/1000)</f>
        <v>-358.17104854960002</v>
      </c>
      <c r="G9" s="16">
        <f ca="1">(-1)*(ScenarioParameters!$B$5)*ScenarioParameters!$G4*(1/1000)</f>
        <v>-915.10142748577823</v>
      </c>
      <c r="H9" s="16">
        <f ca="1">(-1)*(ScenarioParameters!$B$5)*ScenarioParameters!$G5*(1/1000)</f>
        <v>-710.16599732894019</v>
      </c>
      <c r="I9" s="16">
        <f ca="1">(-1)*(ScenarioParameters!$B$5)*ScenarioParameters!$G6*(1/1000)</f>
        <v>-1368.7098825203507</v>
      </c>
      <c r="J9" s="15">
        <f ca="1">(-1)*(ScenarioParameters!$B$5)*ScenarioParameters!$G7*(1/1000)</f>
        <v>-751.42456173361836</v>
      </c>
      <c r="K9" s="15">
        <f ca="1">(-1)*(ScenarioParameters!$B$5)*ScenarioParameters!$G8*(1/1000)</f>
        <v>-1496.0629436075526</v>
      </c>
      <c r="L9" s="15">
        <f ca="1">(-1)*(ScenarioParameters!$B$5)*ScenarioParameters!$G9*(1/1000)</f>
        <v>-1010.0049422965234</v>
      </c>
      <c r="M9" s="15">
        <f ca="1">(-1)*(ScenarioParameters!$B$5)*ScenarioParameters!$G10*(1/1000)</f>
        <v>-1796.7698918371707</v>
      </c>
      <c r="N9" s="16">
        <f ca="1">(-1)*(ScenarioParameters!$B$5)*ScenarioParameters!$G11*(1/1000)</f>
        <v>-952.30835844169042</v>
      </c>
      <c r="O9" s="16">
        <f ca="1">(-1)*(ScenarioParameters!$B$5)*ScenarioParameters!$G12*(1/1000)</f>
        <v>-1869.3415055351697</v>
      </c>
      <c r="P9" s="16">
        <f ca="1">(-1)*(ScenarioParameters!$B$5)*ScenarioParameters!$G13*(1/1000)</f>
        <v>-1241.2505659878025</v>
      </c>
      <c r="Q9" s="16">
        <f ca="1">(-1)*(ScenarioParameters!$B$5)*ScenarioParameters!$G14*(1/1000)</f>
        <v>-2183.9011955593223</v>
      </c>
      <c r="R9" s="15">
        <f ca="1">(-1)*(ScenarioParameters!$B$5)*ScenarioParameters!$G15*(1/1000)</f>
        <v>-1166.5343315484156</v>
      </c>
      <c r="S9" s="15">
        <f ca="1">(-1)*(ScenarioParameters!$B$5)*ScenarioParameters!$G16*(1/1000)</f>
        <v>-2267.4680554468609</v>
      </c>
      <c r="T9" s="15">
        <f ca="1">(-1)*(ScenarioParameters!$B$5)*ScenarioParameters!$G17*(1/1000)</f>
        <v>-1492.2442915949252</v>
      </c>
      <c r="U9" s="15">
        <f ca="1">(-1)*(ScenarioParameters!$B$5)*ScenarioParameters!$G18*(1/1000)</f>
        <v>-2604.2584953184423</v>
      </c>
    </row>
    <row r="10" spans="1:21" ht="15.75" customHeight="1">
      <c r="A10" s="2" t="s">
        <v>29</v>
      </c>
      <c r="B10" s="15"/>
      <c r="C10" s="15"/>
      <c r="D10" s="15"/>
      <c r="E10" s="15"/>
      <c r="F10" s="16">
        <f ca="1">ScenarioParameters!$G3</f>
        <v>3106.9660699999999</v>
      </c>
      <c r="G10" s="16">
        <f ca="1">ScenarioParameters!$G4</f>
        <v>7938.0762273228502</v>
      </c>
      <c r="H10" s="16">
        <f ca="1">ScenarioParameters!$G5</f>
        <v>6160.3573675307098</v>
      </c>
      <c r="I10" s="16">
        <f ca="1">ScenarioParameters!$G6</f>
        <v>11872.917093341001</v>
      </c>
      <c r="J10" s="15">
        <f ca="1">ScenarioParameters!$G7</f>
        <v>6518.2560872104305</v>
      </c>
      <c r="K10" s="15">
        <f ca="1">ScenarioParameters!$G8</f>
        <v>12977.6452429524</v>
      </c>
      <c r="L10" s="15">
        <f ca="1">ScenarioParameters!$G9</f>
        <v>8761.3197631551302</v>
      </c>
      <c r="M10" s="15">
        <f ca="1">ScenarioParameters!$G10</f>
        <v>15586.137160280799</v>
      </c>
      <c r="N10" s="16">
        <f ca="1">ScenarioParameters!$G11</f>
        <v>8260.8289247197299</v>
      </c>
      <c r="O10" s="16">
        <f ca="1">ScenarioParameters!$G12</f>
        <v>16215.6619147742</v>
      </c>
      <c r="P10" s="16">
        <f ca="1">ScenarioParameters!$G13</f>
        <v>10767.267227513899</v>
      </c>
      <c r="Q10" s="16">
        <f ca="1">ScenarioParameters!$G14</f>
        <v>18944.3198782037</v>
      </c>
      <c r="R10" s="15">
        <f ca="1">ScenarioParameters!$G15</f>
        <v>10119.1388926823</v>
      </c>
      <c r="S10" s="15">
        <f ca="1">ScenarioParameters!$G16</f>
        <v>19669.223242946398</v>
      </c>
      <c r="T10" s="15">
        <f ca="1">ScenarioParameters!$G17</f>
        <v>12944.520225493799</v>
      </c>
      <c r="U10" s="15">
        <f ca="1">ScenarioParameters!$G18</f>
        <v>22590.7225478699</v>
      </c>
    </row>
    <row r="11" spans="1:21" ht="15.75" customHeight="1">
      <c r="A11" s="2" t="s">
        <v>30</v>
      </c>
      <c r="B11" s="15"/>
      <c r="C11" s="15"/>
      <c r="D11" s="15"/>
      <c r="E11" s="15"/>
      <c r="F11" s="16">
        <f t="shared" ref="F11:U11" ca="1" si="1">F9/F10</f>
        <v>-0.11528000000000001</v>
      </c>
      <c r="G11" s="16">
        <f t="shared" ca="1" si="1"/>
        <v>-0.11528000000000001</v>
      </c>
      <c r="H11" s="16">
        <f t="shared" ca="1" si="1"/>
        <v>-0.11527999999999999</v>
      </c>
      <c r="I11" s="16">
        <f t="shared" ca="1" si="1"/>
        <v>-0.11528000000000001</v>
      </c>
      <c r="J11" s="15">
        <f t="shared" ca="1" si="1"/>
        <v>-0.11527999999999999</v>
      </c>
      <c r="K11" s="15">
        <f t="shared" ca="1" si="1"/>
        <v>-0.11527999999999999</v>
      </c>
      <c r="L11" s="15">
        <f t="shared" ca="1" si="1"/>
        <v>-0.11527999999999999</v>
      </c>
      <c r="M11" s="15">
        <f t="shared" ca="1" si="1"/>
        <v>-0.11528000000000001</v>
      </c>
      <c r="N11" s="16">
        <f t="shared" ca="1" si="1"/>
        <v>-0.11527999999999999</v>
      </c>
      <c r="O11" s="16">
        <f t="shared" ca="1" si="1"/>
        <v>-0.11527999999999999</v>
      </c>
      <c r="P11" s="16">
        <f t="shared" ca="1" si="1"/>
        <v>-0.11528000000000002</v>
      </c>
      <c r="Q11" s="16">
        <f t="shared" ca="1" si="1"/>
        <v>-0.11527999999999999</v>
      </c>
      <c r="R11" s="15">
        <f t="shared" ca="1" si="1"/>
        <v>-0.11528000000000001</v>
      </c>
      <c r="S11" s="15">
        <f t="shared" ca="1" si="1"/>
        <v>-0.11528000000000001</v>
      </c>
      <c r="T11" s="15">
        <f t="shared" ca="1" si="1"/>
        <v>-0.11528000000000001</v>
      </c>
      <c r="U11" s="15">
        <f t="shared" ca="1" si="1"/>
        <v>-0.11528000000000001</v>
      </c>
    </row>
    <row r="12" spans="1:21" ht="15.75" customHeight="1">
      <c r="A12" s="2" t="s">
        <v>31</v>
      </c>
      <c r="B12" s="15"/>
      <c r="C12" s="15"/>
      <c r="D12" s="15"/>
      <c r="E12" s="15"/>
      <c r="F12" s="16">
        <f ca="1">(ScenarioParameters!$B$4*F10)*(1/1000)</f>
        <v>928.98285493000003</v>
      </c>
      <c r="G12" s="16">
        <f ca="1">(ScenarioParameters!$B$4*G10)*(1/1000)</f>
        <v>2373.4847919695321</v>
      </c>
      <c r="H12" s="16">
        <f ca="1">(ScenarioParameters!$B$4*H10)*(1/1000)</f>
        <v>1841.9468528916823</v>
      </c>
      <c r="I12" s="16">
        <f ca="1">(ScenarioParameters!$B$4*I10)*(1/1000)</f>
        <v>3550.0022109089591</v>
      </c>
      <c r="J12" s="16">
        <f ca="1">(ScenarioParameters!$B$4*J10)*(1/1000)</f>
        <v>1948.9585700759187</v>
      </c>
      <c r="K12" s="16">
        <f ca="1">(ScenarioParameters!$B$4*K10)*(1/1000)</f>
        <v>3880.3159276427673</v>
      </c>
      <c r="L12" s="16">
        <f ca="1">(ScenarioParameters!$B$4*L10)*(1/1000)</f>
        <v>2619.6346091833843</v>
      </c>
      <c r="M12" s="16">
        <f ca="1">(ScenarioParameters!$B$4*M10)*(1/1000)</f>
        <v>4660.2550109239592</v>
      </c>
      <c r="N12" s="16">
        <f ca="1">(ScenarioParameters!$B$4*N10)*(1/1000)</f>
        <v>2469.9878484911992</v>
      </c>
      <c r="O12" s="16">
        <f ca="1">(ScenarioParameters!$B$4*O10)*(1/1000)</f>
        <v>4848.4829125174865</v>
      </c>
      <c r="P12" s="16">
        <f ca="1">(ScenarioParameters!$B$4*P10)*(1/1000)</f>
        <v>3219.4129010266561</v>
      </c>
      <c r="Q12" s="16">
        <f ca="1">(ScenarioParameters!$B$4*Q10)*(1/1000)</f>
        <v>5664.3516435829069</v>
      </c>
      <c r="R12" s="16">
        <f ca="1">(ScenarioParameters!$B$4*R10)*(1/1000)</f>
        <v>3025.622528912008</v>
      </c>
      <c r="S12" s="16">
        <f ca="1">(ScenarioParameters!$B$4*S10)*(1/1000)</f>
        <v>5881.0977496409732</v>
      </c>
      <c r="T12" s="16">
        <f ca="1">(ScenarioParameters!$B$4*T10)*(1/1000)</f>
        <v>3870.411547422646</v>
      </c>
      <c r="U12" s="16">
        <f ca="1">(ScenarioParameters!$B$4*U10)*(1/1000)</f>
        <v>6754.6260418130996</v>
      </c>
    </row>
    <row r="13" spans="1:21" ht="15.75" customHeight="1">
      <c r="A13" s="1" t="s">
        <v>32</v>
      </c>
      <c r="B13" s="15"/>
      <c r="C13" s="15"/>
      <c r="D13" s="15"/>
      <c r="E13" s="15"/>
      <c r="F13" s="17">
        <f t="shared" ref="F13:U13" ca="1" si="2">F$10</f>
        <v>3106.9660699999999</v>
      </c>
      <c r="G13" s="17">
        <f t="shared" ca="1" si="2"/>
        <v>7938.0762273228502</v>
      </c>
      <c r="H13" s="17">
        <f t="shared" ca="1" si="2"/>
        <v>6160.3573675307098</v>
      </c>
      <c r="I13" s="17">
        <f t="shared" ca="1" si="2"/>
        <v>11872.917093341001</v>
      </c>
      <c r="J13" s="18">
        <f t="shared" ca="1" si="2"/>
        <v>6518.2560872104305</v>
      </c>
      <c r="K13" s="18">
        <f t="shared" ca="1" si="2"/>
        <v>12977.6452429524</v>
      </c>
      <c r="L13" s="18">
        <f t="shared" ca="1" si="2"/>
        <v>8761.3197631551302</v>
      </c>
      <c r="M13" s="18">
        <f t="shared" ca="1" si="2"/>
        <v>15586.137160280799</v>
      </c>
      <c r="N13" s="17">
        <f t="shared" ca="1" si="2"/>
        <v>8260.8289247197299</v>
      </c>
      <c r="O13" s="17">
        <f t="shared" ca="1" si="2"/>
        <v>16215.6619147742</v>
      </c>
      <c r="P13" s="17">
        <f t="shared" ca="1" si="2"/>
        <v>10767.267227513899</v>
      </c>
      <c r="Q13" s="17">
        <f t="shared" ca="1" si="2"/>
        <v>18944.3198782037</v>
      </c>
      <c r="R13" s="18">
        <f t="shared" ca="1" si="2"/>
        <v>10119.1388926823</v>
      </c>
      <c r="S13" s="18">
        <f t="shared" ca="1" si="2"/>
        <v>19669.223242946398</v>
      </c>
      <c r="T13" s="18">
        <f t="shared" ca="1" si="2"/>
        <v>12944.520225493799</v>
      </c>
      <c r="U13" s="18">
        <f t="shared" ca="1" si="2"/>
        <v>22590.7225478699</v>
      </c>
    </row>
    <row r="14" spans="1:21" ht="15.75" customHeight="1">
      <c r="A14" s="1" t="s">
        <v>33</v>
      </c>
      <c r="B14" s="15"/>
      <c r="C14" s="15"/>
      <c r="D14" s="15"/>
      <c r="E14" s="15"/>
      <c r="F14" s="16">
        <f t="shared" ref="F14:U14" ca="1" si="3">F$12/F$13</f>
        <v>0.29899999999999999</v>
      </c>
      <c r="G14" s="16">
        <f t="shared" ca="1" si="3"/>
        <v>0.29899999999999999</v>
      </c>
      <c r="H14" s="16">
        <f t="shared" ca="1" si="3"/>
        <v>0.29899999999999999</v>
      </c>
      <c r="I14" s="16">
        <f t="shared" ca="1" si="3"/>
        <v>0.29899999999999999</v>
      </c>
      <c r="J14" s="15">
        <f t="shared" ca="1" si="3"/>
        <v>0.29899999999999999</v>
      </c>
      <c r="K14" s="15">
        <f t="shared" ca="1" si="3"/>
        <v>0.29899999999999999</v>
      </c>
      <c r="L14" s="15">
        <f t="shared" ca="1" si="3"/>
        <v>0.29900000000000004</v>
      </c>
      <c r="M14" s="15">
        <f t="shared" ca="1" si="3"/>
        <v>0.29899999999999999</v>
      </c>
      <c r="N14" s="16">
        <f t="shared" ca="1" si="3"/>
        <v>0.29899999999999999</v>
      </c>
      <c r="O14" s="16">
        <f t="shared" ca="1" si="3"/>
        <v>0.29900000000000004</v>
      </c>
      <c r="P14" s="16">
        <f t="shared" ca="1" si="3"/>
        <v>0.29899999999999999</v>
      </c>
      <c r="Q14" s="16">
        <f t="shared" ca="1" si="3"/>
        <v>0.29900000000000004</v>
      </c>
      <c r="R14" s="15">
        <f t="shared" ca="1" si="3"/>
        <v>0.29900000000000004</v>
      </c>
      <c r="S14" s="15">
        <f t="shared" ca="1" si="3"/>
        <v>0.29899999999999999</v>
      </c>
      <c r="T14" s="15">
        <f t="shared" ca="1" si="3"/>
        <v>0.29899999999999999</v>
      </c>
      <c r="U14" s="15">
        <f t="shared" ca="1" si="3"/>
        <v>0.29899999999999999</v>
      </c>
    </row>
    <row r="15" spans="1:21" ht="15.75" customHeight="1">
      <c r="B15" s="15"/>
      <c r="C15" s="15"/>
      <c r="D15" s="15"/>
      <c r="E15" s="15"/>
      <c r="F15" s="16"/>
      <c r="G15" s="16"/>
      <c r="H15" s="16"/>
      <c r="I15" s="16"/>
      <c r="J15" s="15"/>
      <c r="K15" s="15"/>
      <c r="L15" s="15"/>
      <c r="M15" s="15"/>
      <c r="N15" s="16"/>
      <c r="O15" s="16"/>
      <c r="P15" s="16"/>
      <c r="Q15" s="16"/>
      <c r="R15" s="15"/>
      <c r="S15" s="15"/>
      <c r="T15" s="15"/>
      <c r="U15" s="15"/>
    </row>
    <row r="16" spans="1:21" ht="15.75" customHeight="1">
      <c r="A16" s="2" t="s">
        <v>34</v>
      </c>
      <c r="B16" s="19">
        <f t="shared" ref="B16:U16" si="4">SUM(B6+B7+B8+B9+B12)</f>
        <v>-10.584</v>
      </c>
      <c r="C16" s="19">
        <f t="shared" si="4"/>
        <v>-10.584</v>
      </c>
      <c r="D16" s="19">
        <f t="shared" si="4"/>
        <v>-10.584</v>
      </c>
      <c r="E16" s="19">
        <f t="shared" si="4"/>
        <v>-13.608000000000001</v>
      </c>
      <c r="F16" s="20">
        <f t="shared" ca="1" si="4"/>
        <v>357.78780638040007</v>
      </c>
      <c r="G16" s="20">
        <f t="shared" ca="1" si="4"/>
        <v>1248.3833644837539</v>
      </c>
      <c r="H16" s="20">
        <f t="shared" ca="1" si="4"/>
        <v>921.78085556274209</v>
      </c>
      <c r="I16" s="20">
        <f t="shared" ca="1" si="4"/>
        <v>1971.2923283886084</v>
      </c>
      <c r="J16" s="19">
        <f t="shared" ca="1" si="4"/>
        <v>987.53400834230035</v>
      </c>
      <c r="K16" s="19">
        <f t="shared" ca="1" si="4"/>
        <v>2174.2529840352145</v>
      </c>
      <c r="L16" s="19">
        <f t="shared" ca="1" si="4"/>
        <v>1399.6296668868608</v>
      </c>
      <c r="M16" s="19">
        <f t="shared" ca="1" si="4"/>
        <v>2653.4851190867885</v>
      </c>
      <c r="N16" s="20">
        <f t="shared" ca="1" si="4"/>
        <v>1307.6794900495088</v>
      </c>
      <c r="O16" s="20">
        <f t="shared" ca="1" si="4"/>
        <v>2769.1414069823168</v>
      </c>
      <c r="P16" s="20">
        <f t="shared" ca="1" si="4"/>
        <v>1768.1623350388536</v>
      </c>
      <c r="Q16" s="20">
        <f t="shared" ca="1" si="4"/>
        <v>3270.4504480235846</v>
      </c>
      <c r="R16" s="19">
        <f t="shared" ca="1" si="4"/>
        <v>1649.0881973635924</v>
      </c>
      <c r="S16" s="19">
        <f t="shared" ca="1" si="4"/>
        <v>3403.6296941941123</v>
      </c>
      <c r="T16" s="19">
        <f t="shared" ca="1" si="4"/>
        <v>2168.1672558277205</v>
      </c>
      <c r="U16" s="19">
        <f t="shared" ca="1" si="4"/>
        <v>3940.3675464946573</v>
      </c>
    </row>
    <row r="17" spans="1:21" ht="15.75" customHeight="1">
      <c r="A17" s="2" t="s">
        <v>35</v>
      </c>
      <c r="B17" s="19">
        <f>B16</f>
        <v>-10.584</v>
      </c>
      <c r="C17" s="19">
        <f>C16/(1+(ScenarioParameters!$B$8/100)/4)^B3</f>
        <v>-10.401965601965601</v>
      </c>
      <c r="D17" s="19">
        <f>D16/(1+(ScenarioParameters!$B$8/100)/4)^C3</f>
        <v>-10.22306201667381</v>
      </c>
      <c r="E17" s="19">
        <f>E16/(1+(ScenarioParameters!$B$8/100)/4)^D3</f>
        <v>-12.917874082143108</v>
      </c>
      <c r="F17" s="20">
        <f ca="1">F16/(1+(ScenarioParameters!$B$8/100)/4)^E3</f>
        <v>333.80117714743642</v>
      </c>
      <c r="G17" s="20">
        <f ca="1">G16/(1+(ScenarioParameters!$B$8/100)/4)^F3</f>
        <v>1144.6583568470701</v>
      </c>
      <c r="H17" s="20">
        <f ca="1">H16/(1+(ScenarioParameters!$B$8/100)/4)^G3</f>
        <v>830.65594306761056</v>
      </c>
      <c r="I17" s="20">
        <f ca="1">I16/(1+(ScenarioParameters!$B$8/100)/4)^H3</f>
        <v>1745.8627805680449</v>
      </c>
      <c r="J17" s="19">
        <f ca="1">J16/(1+(ScenarioParameters!$B$8/100)/4)^I3</f>
        <v>859.56102968357607</v>
      </c>
      <c r="K17" s="19">
        <f ca="1">K16/(1+(ScenarioParameters!$B$8/100)/4)^J3</f>
        <v>1859.9459067667622</v>
      </c>
      <c r="L17" s="19">
        <f ca="1">L16/(1+(ScenarioParameters!$B$8/100)/4)^K3</f>
        <v>1176.7086889526088</v>
      </c>
      <c r="M17" s="19">
        <f ca="1">M16/(1+(ScenarioParameters!$B$8/100)/4)^L3</f>
        <v>2192.4922128962967</v>
      </c>
      <c r="N17" s="20">
        <f ca="1">N16/(1+(ScenarioParameters!$B$8/100)/4)^M3</f>
        <v>1061.9114350008667</v>
      </c>
      <c r="O17" s="20">
        <f ca="1">O16/(1+(ScenarioParameters!$B$8/100)/4)^N3</f>
        <v>2210.02761830706</v>
      </c>
      <c r="P17" s="20">
        <f ca="1">P16/(1+(ScenarioParameters!$B$8/100)/4)^O3</f>
        <v>1386.8844683277734</v>
      </c>
      <c r="Q17" s="20">
        <f ca="1">Q16/(1+(ScenarioParameters!$B$8/100)/4)^P3</f>
        <v>2521.1071545749933</v>
      </c>
      <c r="R17" s="19">
        <f ca="1">R16/(1+(ScenarioParameters!$B$8/100)/4)^Q3</f>
        <v>1249.3761093003618</v>
      </c>
      <c r="S17" s="19">
        <f ca="1">S16/(1+(ScenarioParameters!$B$8/100)/4)^R3</f>
        <v>2534.2951919988541</v>
      </c>
      <c r="T17" s="19">
        <f ca="1">T16/(1+(ScenarioParameters!$B$8/100)/4)^S3</f>
        <v>1586.6212228444899</v>
      </c>
      <c r="U17" s="19">
        <f ca="1">U16/(1+(ScenarioParameters!$B$8/100)/4)^T3</f>
        <v>2833.8887258694722</v>
      </c>
    </row>
    <row r="18" spans="1:21" ht="15.75" customHeight="1"/>
    <row r="19" spans="1:21" ht="15.75" customHeight="1">
      <c r="A19" s="2" t="s">
        <v>36</v>
      </c>
      <c r="B19" s="20">
        <f ca="1">SUM(B17:U17)</f>
        <v>25483.671120452498</v>
      </c>
    </row>
    <row r="20" spans="1:21" ht="15.75" customHeight="1"/>
    <row r="21" spans="1:21" ht="15.75" customHeight="1">
      <c r="A21" s="1" t="s">
        <v>37</v>
      </c>
    </row>
    <row r="22" spans="1:21" ht="15.75" customHeight="1"/>
    <row r="23" spans="1:21" ht="15.75" customHeight="1"/>
    <row r="24" spans="1:21" ht="15.75" customHeight="1"/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J2:M2"/>
    <mergeCell ref="N2:Q2"/>
    <mergeCell ref="R2:U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00"/>
  <sheetViews>
    <sheetView workbookViewId="0"/>
  </sheetViews>
  <sheetFormatPr defaultColWidth="11.25" defaultRowHeight="15" customHeight="1"/>
  <cols>
    <col min="1" max="1" width="21.33203125" customWidth="1"/>
    <col min="2" max="26" width="10.58203125" customWidth="1"/>
  </cols>
  <sheetData>
    <row r="1" spans="1:18" ht="15.75" customHeight="1">
      <c r="A1" s="2" t="s">
        <v>51</v>
      </c>
    </row>
    <row r="2" spans="1:18" ht="15.75" customHeight="1">
      <c r="B2" s="2" t="s">
        <v>52</v>
      </c>
      <c r="F2" s="2" t="s">
        <v>53</v>
      </c>
      <c r="J2" s="2" t="s">
        <v>54</v>
      </c>
      <c r="N2" s="2" t="s">
        <v>55</v>
      </c>
    </row>
    <row r="3" spans="1:18" ht="15.75" customHeight="1">
      <c r="A3" s="2" t="s">
        <v>10</v>
      </c>
      <c r="B3" s="2">
        <v>1</v>
      </c>
      <c r="C3" s="2">
        <f t="shared" ref="C3:Q3" si="0">B3+1</f>
        <v>2</v>
      </c>
      <c r="D3" s="2">
        <f t="shared" si="0"/>
        <v>3</v>
      </c>
      <c r="E3" s="2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2">
        <f t="shared" si="0"/>
        <v>9</v>
      </c>
      <c r="K3" s="2">
        <f t="shared" si="0"/>
        <v>10</v>
      </c>
      <c r="L3" s="2">
        <f t="shared" si="0"/>
        <v>11</v>
      </c>
      <c r="M3" s="2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</row>
    <row r="4" spans="1:18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24</v>
      </c>
      <c r="F4" s="2" t="s">
        <v>20</v>
      </c>
      <c r="G4" s="2" t="s">
        <v>21</v>
      </c>
      <c r="H4" s="2" t="s">
        <v>22</v>
      </c>
      <c r="I4" s="2" t="s">
        <v>24</v>
      </c>
      <c r="J4" s="2" t="s">
        <v>20</v>
      </c>
      <c r="K4" s="2" t="s">
        <v>21</v>
      </c>
      <c r="L4" s="2" t="s">
        <v>22</v>
      </c>
      <c r="M4" s="2" t="s">
        <v>24</v>
      </c>
      <c r="N4" s="2" t="s">
        <v>20</v>
      </c>
      <c r="O4" s="2" t="s">
        <v>21</v>
      </c>
      <c r="P4" s="2" t="s">
        <v>22</v>
      </c>
      <c r="Q4" s="2" t="s">
        <v>24</v>
      </c>
    </row>
    <row r="5" spans="1:18" ht="15.75" customHeight="1"/>
    <row r="6" spans="1:18" ht="15.75" customHeight="1">
      <c r="A6" s="2" t="s">
        <v>25</v>
      </c>
      <c r="B6" s="16">
        <f>(-1)*ScenarioParameters!$B$3/4*(1/1000)</f>
        <v>-15.120000000000001</v>
      </c>
      <c r="C6" s="16">
        <f>(-1)*ScenarioParameters!$B$3/4*(1/1000)</f>
        <v>-15.120000000000001</v>
      </c>
      <c r="D6" s="16">
        <f>(-1)*ScenarioParameters!$B$3/4*(1/1000)</f>
        <v>-15.120000000000001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8" ht="15.75" customHeight="1">
      <c r="A7" s="2" t="s">
        <v>26</v>
      </c>
      <c r="B7" s="16"/>
      <c r="C7" s="16"/>
      <c r="D7" s="16">
        <f>(-1)*ScenarioParameters!$B$6/2*(1/1000)</f>
        <v>-3.024</v>
      </c>
      <c r="E7" s="16">
        <f>(-1)*ScenarioParameters!$B$6/2*(1/1000)</f>
        <v>-3.024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ht="15.75" customHeight="1">
      <c r="A8" s="2" t="s">
        <v>27</v>
      </c>
      <c r="B8" s="16"/>
      <c r="C8" s="16"/>
      <c r="D8" s="16"/>
      <c r="E8" s="16">
        <f>(-1)*ScenarioParameters!$B$7/4*(1/1000)</f>
        <v>-210</v>
      </c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6">
        <f>(-1)*ScenarioParameters!$B$7/4*(1/1000)</f>
        <v>-210</v>
      </c>
      <c r="K8" s="16">
        <f>(-1)*ScenarioParameters!$B$7/4*(1/1000)</f>
        <v>-210</v>
      </c>
      <c r="L8" s="16">
        <f>(-1)*ScenarioParameters!$B$7/4*(1/1000)</f>
        <v>-210</v>
      </c>
      <c r="M8" s="16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6"/>
    </row>
    <row r="9" spans="1:18" ht="15.75" customHeight="1">
      <c r="A9" s="2" t="s">
        <v>56</v>
      </c>
      <c r="B9" s="16"/>
      <c r="C9" s="16"/>
      <c r="D9" s="16"/>
      <c r="E9" s="16"/>
      <c r="F9" s="16" t="e">
        <f>(-1)*(ScenarioParameters!$B$5)*(ScenarioParameters!$B$2/4)*(1/1000)</f>
        <v>#VALUE!</v>
      </c>
      <c r="G9" s="16" t="e">
        <f>(-1)*(ScenarioParameters!$B$5)*(ScenarioParameters!$B$2/4)*(1/1000)</f>
        <v>#VALUE!</v>
      </c>
      <c r="H9" s="16" t="e">
        <f>(-1)*(ScenarioParameters!$B$5)*(ScenarioParameters!$B$2/4)*(1/1000)</f>
        <v>#VALUE!</v>
      </c>
      <c r="I9" s="16" t="e">
        <f>(-1)*(ScenarioParameters!$B$5)*(ScenarioParameters!$B$2/4)*(1/1000)</f>
        <v>#VALUE!</v>
      </c>
      <c r="J9" s="16" t="e">
        <f>(-1)*(ScenarioParameters!$B$5)*(ScenarioParameters!$B$2/4)*(1/1000)</f>
        <v>#VALUE!</v>
      </c>
      <c r="K9" s="16" t="e">
        <f>(-1)*(ScenarioParameters!$B$5)*(ScenarioParameters!$B$2/4)*(1/1000)</f>
        <v>#VALUE!</v>
      </c>
      <c r="L9" s="16" t="e">
        <f>(-1)*(ScenarioParameters!$B$5)*(ScenarioParameters!$B$2/4)*(1/1000)</f>
        <v>#VALUE!</v>
      </c>
      <c r="M9" s="16" t="e">
        <f>(-1)*(ScenarioParameters!$B$5)*(ScenarioParameters!$B$2/4)*(1/1000)</f>
        <v>#VALUE!</v>
      </c>
      <c r="N9" s="16" t="e">
        <f>(-1)*(ScenarioParameters!$B$5)*(ScenarioParameters!$B$2/4)*(1/1000)</f>
        <v>#VALUE!</v>
      </c>
      <c r="O9" s="16" t="e">
        <f>(-1)*(ScenarioParameters!$B$5)*(ScenarioParameters!$B$2/4)*(1/1000)</f>
        <v>#VALUE!</v>
      </c>
      <c r="P9" s="16" t="e">
        <f>(-1)*(ScenarioParameters!$B$5)*(ScenarioParameters!$B$2/4)*(1/1000)</f>
        <v>#VALUE!</v>
      </c>
      <c r="Q9" s="16" t="e">
        <f>(-1)*(ScenarioParameters!$B$5)*(ScenarioParameters!$B$2/4)*(1/1000)</f>
        <v>#VALUE!</v>
      </c>
      <c r="R9" s="16"/>
    </row>
    <row r="10" spans="1:18" ht="15.75" customHeight="1">
      <c r="A10" s="2" t="s">
        <v>57</v>
      </c>
      <c r="B10" s="16"/>
      <c r="C10" s="16"/>
      <c r="D10" s="16"/>
      <c r="E10" s="16"/>
      <c r="F10" s="16" t="e">
        <f>ScenarioParameters!$B$2/4</f>
        <v>#VALUE!</v>
      </c>
      <c r="G10" s="16" t="e">
        <f>ScenarioParameters!$B$2/4</f>
        <v>#VALUE!</v>
      </c>
      <c r="H10" s="16" t="e">
        <f>ScenarioParameters!$B$2/4</f>
        <v>#VALUE!</v>
      </c>
      <c r="I10" s="16" t="e">
        <f>ScenarioParameters!$B$2/4</f>
        <v>#VALUE!</v>
      </c>
      <c r="J10" s="16" t="e">
        <f>ScenarioParameters!$B$2/4</f>
        <v>#VALUE!</v>
      </c>
      <c r="K10" s="16" t="e">
        <f>ScenarioParameters!$B$2/4</f>
        <v>#VALUE!</v>
      </c>
      <c r="L10" s="16" t="e">
        <f>ScenarioParameters!$B$2/4</f>
        <v>#VALUE!</v>
      </c>
      <c r="M10" s="16" t="e">
        <f>ScenarioParameters!$B$2/4</f>
        <v>#VALUE!</v>
      </c>
      <c r="N10" s="16" t="e">
        <f>ScenarioParameters!$B$2/4</f>
        <v>#VALUE!</v>
      </c>
      <c r="O10" s="16" t="e">
        <f>ScenarioParameters!$B$2/4</f>
        <v>#VALUE!</v>
      </c>
      <c r="P10" s="16" t="e">
        <f>ScenarioParameters!$B$2/4</f>
        <v>#VALUE!</v>
      </c>
      <c r="Q10" s="16" t="e">
        <f>ScenarioParameters!$B$2/4</f>
        <v>#VALUE!</v>
      </c>
      <c r="R10" s="16"/>
    </row>
    <row r="11" spans="1:18" ht="15.75" customHeight="1">
      <c r="A11" s="2" t="s">
        <v>31</v>
      </c>
      <c r="B11" s="16"/>
      <c r="C11" s="16"/>
      <c r="D11" s="16"/>
      <c r="E11" s="16"/>
      <c r="F11" s="16" t="e">
        <f t="shared" ref="F11:Q11" si="1">F9/F10</f>
        <v>#VALUE!</v>
      </c>
      <c r="G11" s="16" t="e">
        <f t="shared" si="1"/>
        <v>#VALUE!</v>
      </c>
      <c r="H11" s="16" t="e">
        <f t="shared" si="1"/>
        <v>#VALUE!</v>
      </c>
      <c r="I11" s="16" t="e">
        <f t="shared" si="1"/>
        <v>#VALUE!</v>
      </c>
      <c r="J11" s="16" t="e">
        <f t="shared" si="1"/>
        <v>#VALUE!</v>
      </c>
      <c r="K11" s="16" t="e">
        <f t="shared" si="1"/>
        <v>#VALUE!</v>
      </c>
      <c r="L11" s="16" t="e">
        <f t="shared" si="1"/>
        <v>#VALUE!</v>
      </c>
      <c r="M11" s="16" t="e">
        <f t="shared" si="1"/>
        <v>#VALUE!</v>
      </c>
      <c r="N11" s="16" t="e">
        <f t="shared" si="1"/>
        <v>#VALUE!</v>
      </c>
      <c r="O11" s="16" t="e">
        <f t="shared" si="1"/>
        <v>#VALUE!</v>
      </c>
      <c r="P11" s="16" t="e">
        <f t="shared" si="1"/>
        <v>#VALUE!</v>
      </c>
      <c r="Q11" s="16" t="e">
        <f t="shared" si="1"/>
        <v>#VALUE!</v>
      </c>
      <c r="R11" s="16"/>
    </row>
    <row r="12" spans="1:18" ht="15.75" customHeight="1">
      <c r="A12" s="2" t="s">
        <v>58</v>
      </c>
      <c r="B12" s="16"/>
      <c r="C12" s="16"/>
      <c r="D12" s="16"/>
      <c r="E12" s="16"/>
      <c r="F12" s="16" t="e">
        <f>(ScenarioParameters!$B$4*ScenarioParameters!$B$2/4)*(1/1000)</f>
        <v>#VALUE!</v>
      </c>
      <c r="G12" s="16" t="e">
        <f>(ScenarioParameters!$B$4*ScenarioParameters!$B$2/4)*(1/1000)</f>
        <v>#VALUE!</v>
      </c>
      <c r="H12" s="16" t="e">
        <f>(ScenarioParameters!$B$4*ScenarioParameters!$B$2/4)*(1/1000)</f>
        <v>#VALUE!</v>
      </c>
      <c r="I12" s="16" t="e">
        <f>(ScenarioParameters!$B$4*ScenarioParameters!$B$2/4)*(1/1000)</f>
        <v>#VALUE!</v>
      </c>
      <c r="J12" s="16" t="e">
        <f>(ScenarioParameters!$B$4*ScenarioParameters!$B$2/4)*(1/1000)</f>
        <v>#VALUE!</v>
      </c>
      <c r="K12" s="16" t="e">
        <f>(ScenarioParameters!$B$4*ScenarioParameters!$B$2/4)*(1/1000)</f>
        <v>#VALUE!</v>
      </c>
      <c r="L12" s="16" t="e">
        <f>(ScenarioParameters!$B$4*ScenarioParameters!$B$2/4)*(1/1000)</f>
        <v>#VALUE!</v>
      </c>
      <c r="M12" s="16" t="e">
        <f>(ScenarioParameters!$B$4*ScenarioParameters!$B$2/4)*(1/1000)</f>
        <v>#VALUE!</v>
      </c>
      <c r="N12" s="16" t="e">
        <f>(ScenarioParameters!$B$4*ScenarioParameters!$B$2/4)*(1/1000)</f>
        <v>#VALUE!</v>
      </c>
      <c r="O12" s="16" t="e">
        <f>(ScenarioParameters!$B$4*ScenarioParameters!$B$2/4)*(1/1000)</f>
        <v>#VALUE!</v>
      </c>
      <c r="P12" s="16" t="e">
        <f>(ScenarioParameters!$B$4*ScenarioParameters!$B$2/4)*(1/1000)</f>
        <v>#VALUE!</v>
      </c>
      <c r="Q12" s="16" t="e">
        <f>(ScenarioParameters!$B$4*ScenarioParameters!$B$2/4)*(1/1000)</f>
        <v>#VALUE!</v>
      </c>
      <c r="R12" s="16"/>
    </row>
    <row r="13" spans="1:18" ht="15.75" customHeight="1">
      <c r="A13" s="2" t="s">
        <v>59</v>
      </c>
      <c r="B13" s="16"/>
      <c r="C13" s="16"/>
      <c r="D13" s="16"/>
      <c r="E13" s="16"/>
      <c r="F13" s="16" t="e">
        <f>ScenarioParameters!$B$2/4</f>
        <v>#VALUE!</v>
      </c>
      <c r="G13" s="16" t="e">
        <f>ScenarioParameters!$B$2/4</f>
        <v>#VALUE!</v>
      </c>
      <c r="H13" s="16" t="e">
        <f>ScenarioParameters!$B$2/4</f>
        <v>#VALUE!</v>
      </c>
      <c r="I13" s="16" t="e">
        <f>ScenarioParameters!$B$2/4</f>
        <v>#VALUE!</v>
      </c>
      <c r="J13" s="16" t="e">
        <f>ScenarioParameters!$B$2/4</f>
        <v>#VALUE!</v>
      </c>
      <c r="K13" s="16" t="e">
        <f>ScenarioParameters!$B$2/4</f>
        <v>#VALUE!</v>
      </c>
      <c r="L13" s="16" t="e">
        <f>ScenarioParameters!$B$2/4</f>
        <v>#VALUE!</v>
      </c>
      <c r="M13" s="16" t="e">
        <f>ScenarioParameters!$B$2/4</f>
        <v>#VALUE!</v>
      </c>
      <c r="N13" s="16" t="e">
        <f>ScenarioParameters!$B$2/4</f>
        <v>#VALUE!</v>
      </c>
      <c r="O13" s="16" t="e">
        <f>ScenarioParameters!$B$2/4</f>
        <v>#VALUE!</v>
      </c>
      <c r="P13" s="16" t="e">
        <f>ScenarioParameters!$B$2/4</f>
        <v>#VALUE!</v>
      </c>
      <c r="Q13" s="16" t="e">
        <f>ScenarioParameters!$B$2/4</f>
        <v>#VALUE!</v>
      </c>
      <c r="R13" s="16"/>
    </row>
    <row r="14" spans="1:18" ht="15.75" customHeight="1">
      <c r="B14" s="16"/>
      <c r="C14" s="16"/>
      <c r="D14" s="16"/>
      <c r="E14" s="16"/>
      <c r="F14" s="16" t="e">
        <f t="shared" ref="F14:Q14" si="2">F12/F13</f>
        <v>#VALUE!</v>
      </c>
      <c r="G14" s="16" t="e">
        <f t="shared" si="2"/>
        <v>#VALUE!</v>
      </c>
      <c r="H14" s="16" t="e">
        <f t="shared" si="2"/>
        <v>#VALUE!</v>
      </c>
      <c r="I14" s="16" t="e">
        <f t="shared" si="2"/>
        <v>#VALUE!</v>
      </c>
      <c r="J14" s="16" t="e">
        <f t="shared" si="2"/>
        <v>#VALUE!</v>
      </c>
      <c r="K14" s="16" t="e">
        <f t="shared" si="2"/>
        <v>#VALUE!</v>
      </c>
      <c r="L14" s="16" t="e">
        <f t="shared" si="2"/>
        <v>#VALUE!</v>
      </c>
      <c r="M14" s="16" t="e">
        <f t="shared" si="2"/>
        <v>#VALUE!</v>
      </c>
      <c r="N14" s="16" t="e">
        <f t="shared" si="2"/>
        <v>#VALUE!</v>
      </c>
      <c r="O14" s="16" t="e">
        <f t="shared" si="2"/>
        <v>#VALUE!</v>
      </c>
      <c r="P14" s="16" t="e">
        <f t="shared" si="2"/>
        <v>#VALUE!</v>
      </c>
      <c r="Q14" s="16" t="e">
        <f t="shared" si="2"/>
        <v>#VALUE!</v>
      </c>
      <c r="R14" s="16"/>
    </row>
    <row r="15" spans="1:18" ht="15.7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15.75" customHeight="1">
      <c r="A16" s="2" t="s">
        <v>34</v>
      </c>
      <c r="B16" s="20">
        <f t="shared" ref="B16:Q16" si="3">SUM(B6+B7+B8+B9+B12)</f>
        <v>-15.120000000000001</v>
      </c>
      <c r="C16" s="20">
        <f t="shared" si="3"/>
        <v>-15.120000000000001</v>
      </c>
      <c r="D16" s="20">
        <f t="shared" si="3"/>
        <v>-18.144000000000002</v>
      </c>
      <c r="E16" s="20">
        <f t="shared" si="3"/>
        <v>-213.024</v>
      </c>
      <c r="F16" s="20" t="e">
        <f t="shared" si="3"/>
        <v>#VALUE!</v>
      </c>
      <c r="G16" s="20" t="e">
        <f t="shared" si="3"/>
        <v>#VALUE!</v>
      </c>
      <c r="H16" s="20" t="e">
        <f t="shared" si="3"/>
        <v>#VALUE!</v>
      </c>
      <c r="I16" s="20" t="e">
        <f t="shared" si="3"/>
        <v>#VALUE!</v>
      </c>
      <c r="J16" s="20" t="e">
        <f t="shared" si="3"/>
        <v>#VALUE!</v>
      </c>
      <c r="K16" s="20" t="e">
        <f t="shared" si="3"/>
        <v>#VALUE!</v>
      </c>
      <c r="L16" s="20" t="e">
        <f t="shared" si="3"/>
        <v>#VALUE!</v>
      </c>
      <c r="M16" s="20" t="e">
        <f t="shared" si="3"/>
        <v>#VALUE!</v>
      </c>
      <c r="N16" s="20" t="e">
        <f t="shared" si="3"/>
        <v>#VALUE!</v>
      </c>
      <c r="O16" s="20" t="e">
        <f t="shared" si="3"/>
        <v>#VALUE!</v>
      </c>
      <c r="P16" s="20" t="e">
        <f t="shared" si="3"/>
        <v>#VALUE!</v>
      </c>
      <c r="Q16" s="20" t="e">
        <f t="shared" si="3"/>
        <v>#VALUE!</v>
      </c>
      <c r="R16" s="20"/>
    </row>
    <row r="17" spans="1:18" ht="15.75" customHeight="1">
      <c r="A17" s="2" t="s">
        <v>35</v>
      </c>
      <c r="B17" s="20">
        <f>B16</f>
        <v>-15.120000000000001</v>
      </c>
      <c r="C17" s="20">
        <f>C16/(1+(ScenarioParameters!$B$8/100)/4)^B3</f>
        <v>-14.85995085995086</v>
      </c>
      <c r="D17" s="20">
        <f>D16/(1+(ScenarioParameters!$B$8/100)/4)^C3</f>
        <v>-17.525249171440819</v>
      </c>
      <c r="E17" s="20">
        <f>E16/(1+(ScenarioParameters!$B$8/100)/4)^D3</f>
        <v>-202.22054735996866</v>
      </c>
      <c r="F17" s="20" t="e">
        <f>F16/(1+(ScenarioParameters!$B$8/100)/4)^E3</f>
        <v>#VALUE!</v>
      </c>
      <c r="G17" s="20" t="e">
        <f>G16/(1+(ScenarioParameters!$B$8/100)/4)^F3</f>
        <v>#VALUE!</v>
      </c>
      <c r="H17" s="20" t="e">
        <f>H16/(1+(ScenarioParameters!$B$8/100)/4)^G3</f>
        <v>#VALUE!</v>
      </c>
      <c r="I17" s="20" t="e">
        <f>I16/(1+(ScenarioParameters!$B$8/100)/4)^H3</f>
        <v>#VALUE!</v>
      </c>
      <c r="J17" s="20" t="e">
        <f>J16/(1+(ScenarioParameters!$B$8/100)/4)^I3</f>
        <v>#VALUE!</v>
      </c>
      <c r="K17" s="20" t="e">
        <f>K16/(1+(ScenarioParameters!$B$8/100)/4)^J3</f>
        <v>#VALUE!</v>
      </c>
      <c r="L17" s="20" t="e">
        <f>L16/(1+(ScenarioParameters!$B$8/100)/4)^K3</f>
        <v>#VALUE!</v>
      </c>
      <c r="M17" s="20" t="e">
        <f>M16/(1+(ScenarioParameters!$B$8/100)/4)^L3</f>
        <v>#VALUE!</v>
      </c>
      <c r="N17" s="20" t="e">
        <f>N16/(1+(ScenarioParameters!$B$8/100)/4)^M3</f>
        <v>#VALUE!</v>
      </c>
      <c r="O17" s="20" t="e">
        <f>O16/(1+(ScenarioParameters!$B$8/100)/4)^N3</f>
        <v>#VALUE!</v>
      </c>
      <c r="P17" s="20" t="e">
        <f>P16/(1+(ScenarioParameters!$B$8/100)/4)^O3</f>
        <v>#VALUE!</v>
      </c>
      <c r="Q17" s="20" t="e">
        <f>Q16/(1+(ScenarioParameters!$B$8/100)/4)^P3</f>
        <v>#VALUE!</v>
      </c>
      <c r="R17" s="20"/>
    </row>
    <row r="18" spans="1:18" ht="15.75" customHeight="1"/>
    <row r="19" spans="1:18" ht="15.75" customHeight="1">
      <c r="A19" s="2" t="s">
        <v>36</v>
      </c>
      <c r="B19" s="20" t="e">
        <f>SUM(B17:Q17)</f>
        <v>#VALUE!</v>
      </c>
    </row>
    <row r="20" spans="1:18" ht="15.75" customHeight="1"/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000"/>
  <sheetViews>
    <sheetView workbookViewId="0"/>
  </sheetViews>
  <sheetFormatPr defaultColWidth="11.25" defaultRowHeight="15" customHeight="1"/>
  <cols>
    <col min="1" max="1" width="21.33203125" customWidth="1"/>
    <col min="2" max="26" width="10.58203125" customWidth="1"/>
  </cols>
  <sheetData>
    <row r="1" spans="1:18" ht="15.75" customHeight="1">
      <c r="A1" s="2" t="s">
        <v>51</v>
      </c>
    </row>
    <row r="2" spans="1:18" ht="15.75" customHeight="1">
      <c r="B2" s="2" t="s">
        <v>52</v>
      </c>
      <c r="F2" s="2" t="s">
        <v>53</v>
      </c>
      <c r="J2" s="2" t="s">
        <v>54</v>
      </c>
      <c r="N2" s="2" t="s">
        <v>55</v>
      </c>
    </row>
    <row r="3" spans="1:18" ht="15.75" customHeight="1">
      <c r="A3" s="2" t="s">
        <v>10</v>
      </c>
      <c r="B3" s="2">
        <v>1</v>
      </c>
      <c r="C3" s="2">
        <f t="shared" ref="C3:Q3" si="0">B3+1</f>
        <v>2</v>
      </c>
      <c r="D3" s="2">
        <f t="shared" si="0"/>
        <v>3</v>
      </c>
      <c r="E3" s="2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2">
        <f t="shared" si="0"/>
        <v>9</v>
      </c>
      <c r="K3" s="2">
        <f t="shared" si="0"/>
        <v>10</v>
      </c>
      <c r="L3" s="2">
        <f t="shared" si="0"/>
        <v>11</v>
      </c>
      <c r="M3" s="2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</row>
    <row r="4" spans="1:18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24</v>
      </c>
      <c r="F4" s="2" t="s">
        <v>20</v>
      </c>
      <c r="G4" s="2" t="s">
        <v>21</v>
      </c>
      <c r="H4" s="2" t="s">
        <v>22</v>
      </c>
      <c r="I4" s="2" t="s">
        <v>24</v>
      </c>
      <c r="J4" s="2" t="s">
        <v>20</v>
      </c>
      <c r="K4" s="2" t="s">
        <v>21</v>
      </c>
      <c r="L4" s="2" t="s">
        <v>22</v>
      </c>
      <c r="M4" s="2" t="s">
        <v>24</v>
      </c>
      <c r="N4" s="2" t="s">
        <v>20</v>
      </c>
      <c r="O4" s="2" t="s">
        <v>21</v>
      </c>
      <c r="P4" s="2" t="s">
        <v>22</v>
      </c>
      <c r="Q4" s="2" t="s">
        <v>24</v>
      </c>
    </row>
    <row r="5" spans="1:18" ht="15.75" customHeight="1"/>
    <row r="6" spans="1:18" ht="15.75" customHeight="1">
      <c r="A6" s="2" t="s">
        <v>25</v>
      </c>
      <c r="B6" s="16">
        <f>(-1)*ScenarioParameters!$B$3/4*(1/1000)</f>
        <v>-15.120000000000001</v>
      </c>
      <c r="C6" s="16">
        <f>(-1)*ScenarioParameters!$B$3/4*(1/1000)</f>
        <v>-15.120000000000001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8" ht="15.75" customHeight="1">
      <c r="A7" s="2" t="s">
        <v>26</v>
      </c>
      <c r="B7" s="16"/>
      <c r="C7" s="16">
        <f>(-1)*ScenarioParameters!$B$6/2*(1/1000)</f>
        <v>-3.024</v>
      </c>
      <c r="D7" s="16">
        <f>(-1)*ScenarioParameters!$B$6/2*(1/1000)</f>
        <v>-3.024</v>
      </c>
      <c r="E7" s="16">
        <f>(-1)*ScenarioParameters!$B$6/2*(1/1000)</f>
        <v>-3.024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ht="15.75" customHeight="1">
      <c r="A8" s="2" t="s">
        <v>27</v>
      </c>
      <c r="B8" s="16"/>
      <c r="C8" s="16"/>
      <c r="D8" s="16">
        <f>(-1)*ScenarioParameters!$B$7/4*(1/1000)</f>
        <v>-210</v>
      </c>
      <c r="E8" s="16">
        <f>(-1)*ScenarioParameters!$B$7/4*(1/1000)</f>
        <v>-210</v>
      </c>
      <c r="F8" s="16">
        <f>(-1)*ScenarioParameters!$B$7/4*(1/1000)</f>
        <v>-210</v>
      </c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6">
        <f>(-1)*ScenarioParameters!$B$7/4*(1/1000)</f>
        <v>-210</v>
      </c>
      <c r="K8" s="16">
        <f>(-1)*ScenarioParameters!$B$7/4*(1/1000)</f>
        <v>-210</v>
      </c>
      <c r="L8" s="16">
        <f>(-1)*ScenarioParameters!$B$7/4*(1/1000)</f>
        <v>-210</v>
      </c>
      <c r="M8" s="16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  <c r="R8" s="16"/>
    </row>
    <row r="9" spans="1:18" ht="15.75" customHeight="1">
      <c r="A9" s="2" t="s">
        <v>56</v>
      </c>
      <c r="B9" s="16"/>
      <c r="C9" s="16"/>
      <c r="D9" s="16"/>
      <c r="E9" s="16" t="e">
        <f>(-1)*(ScenarioParameters!$B$5)*(ScenarioParameters!$B$2/4)*(1/1000)</f>
        <v>#VALUE!</v>
      </c>
      <c r="F9" s="16" t="e">
        <f>(-1)*(ScenarioParameters!$B$5)*(ScenarioParameters!$B$2/4)*(1/1000)</f>
        <v>#VALUE!</v>
      </c>
      <c r="G9" s="16" t="e">
        <f>(-1)*(ScenarioParameters!$B$5)*(ScenarioParameters!$B$2/4)*(1/1000)</f>
        <v>#VALUE!</v>
      </c>
      <c r="H9" s="16" t="e">
        <f>(-1)*(ScenarioParameters!$B$5)*(ScenarioParameters!$B$2/4)*(1/1000)</f>
        <v>#VALUE!</v>
      </c>
      <c r="I9" s="16" t="e">
        <f>(-1)*(ScenarioParameters!$B$5)*(ScenarioParameters!$B$2/4)*(1/1000)</f>
        <v>#VALUE!</v>
      </c>
      <c r="J9" s="16" t="e">
        <f>(-1)*(ScenarioParameters!$B$5)*(ScenarioParameters!$B$2/4)*(1/1000)</f>
        <v>#VALUE!</v>
      </c>
      <c r="K9" s="16" t="e">
        <f>(-1)*(ScenarioParameters!$B$5)*(ScenarioParameters!$B$2/4)*(1/1000)</f>
        <v>#VALUE!</v>
      </c>
      <c r="L9" s="16" t="e">
        <f>(-1)*(ScenarioParameters!$B$5)*(ScenarioParameters!$B$2/4)*(1/1000)</f>
        <v>#VALUE!</v>
      </c>
      <c r="M9" s="16" t="e">
        <f>(-1)*(ScenarioParameters!$B$5)*(ScenarioParameters!$B$2/4)*(1/1000)</f>
        <v>#VALUE!</v>
      </c>
      <c r="N9" s="16" t="e">
        <f>(-1)*(ScenarioParameters!$B$5)*(ScenarioParameters!$B$2/4)*(1/1000)</f>
        <v>#VALUE!</v>
      </c>
      <c r="O9" s="16" t="e">
        <f>(-1)*(ScenarioParameters!$B$5)*(ScenarioParameters!$B$2/4)*(1/1000)</f>
        <v>#VALUE!</v>
      </c>
      <c r="P9" s="16" t="e">
        <f>(-1)*(ScenarioParameters!$B$5)*(ScenarioParameters!$B$2/4)*(1/1000)</f>
        <v>#VALUE!</v>
      </c>
      <c r="Q9" s="16" t="e">
        <f>(-1)*(ScenarioParameters!$B$5)*(ScenarioParameters!$B$2/4)*(1/1000)</f>
        <v>#VALUE!</v>
      </c>
      <c r="R9" s="16"/>
    </row>
    <row r="10" spans="1:18" ht="15.75" customHeight="1">
      <c r="A10" s="2" t="s">
        <v>57</v>
      </c>
      <c r="B10" s="16"/>
      <c r="C10" s="16"/>
      <c r="D10" s="16"/>
      <c r="E10" s="16" t="e">
        <f>ScenarioParameters!$B$2/4</f>
        <v>#VALUE!</v>
      </c>
      <c r="F10" s="16" t="e">
        <f>ScenarioParameters!$B$2/4</f>
        <v>#VALUE!</v>
      </c>
      <c r="G10" s="16" t="e">
        <f>ScenarioParameters!$B$2/4</f>
        <v>#VALUE!</v>
      </c>
      <c r="H10" s="16" t="e">
        <f>ScenarioParameters!$B$2/4</f>
        <v>#VALUE!</v>
      </c>
      <c r="I10" s="16" t="e">
        <f>ScenarioParameters!$B$2/4</f>
        <v>#VALUE!</v>
      </c>
      <c r="J10" s="16" t="e">
        <f>ScenarioParameters!$B$2/4</f>
        <v>#VALUE!</v>
      </c>
      <c r="K10" s="16" t="e">
        <f>ScenarioParameters!$B$2/4</f>
        <v>#VALUE!</v>
      </c>
      <c r="L10" s="16" t="e">
        <f>ScenarioParameters!$B$2/4</f>
        <v>#VALUE!</v>
      </c>
      <c r="M10" s="16" t="e">
        <f>ScenarioParameters!$B$2/4</f>
        <v>#VALUE!</v>
      </c>
      <c r="N10" s="16" t="e">
        <f>ScenarioParameters!$B$2/4</f>
        <v>#VALUE!</v>
      </c>
      <c r="O10" s="16" t="e">
        <f>ScenarioParameters!$B$2/4</f>
        <v>#VALUE!</v>
      </c>
      <c r="P10" s="16" t="e">
        <f>ScenarioParameters!$B$2/4</f>
        <v>#VALUE!</v>
      </c>
      <c r="Q10" s="16" t="e">
        <f>ScenarioParameters!$B$2/4</f>
        <v>#VALUE!</v>
      </c>
      <c r="R10" s="16"/>
    </row>
    <row r="11" spans="1:18" ht="15.75" customHeight="1">
      <c r="A11" s="2" t="s">
        <v>31</v>
      </c>
      <c r="B11" s="16"/>
      <c r="C11" s="16"/>
      <c r="D11" s="16"/>
      <c r="E11" s="16" t="e">
        <f t="shared" ref="E11:Q11" si="1">E9/E10</f>
        <v>#VALUE!</v>
      </c>
      <c r="F11" s="16" t="e">
        <f t="shared" si="1"/>
        <v>#VALUE!</v>
      </c>
      <c r="G11" s="16" t="e">
        <f t="shared" si="1"/>
        <v>#VALUE!</v>
      </c>
      <c r="H11" s="16" t="e">
        <f t="shared" si="1"/>
        <v>#VALUE!</v>
      </c>
      <c r="I11" s="16" t="e">
        <f t="shared" si="1"/>
        <v>#VALUE!</v>
      </c>
      <c r="J11" s="16" t="e">
        <f t="shared" si="1"/>
        <v>#VALUE!</v>
      </c>
      <c r="K11" s="16" t="e">
        <f t="shared" si="1"/>
        <v>#VALUE!</v>
      </c>
      <c r="L11" s="16" t="e">
        <f t="shared" si="1"/>
        <v>#VALUE!</v>
      </c>
      <c r="M11" s="16" t="e">
        <f t="shared" si="1"/>
        <v>#VALUE!</v>
      </c>
      <c r="N11" s="16" t="e">
        <f t="shared" si="1"/>
        <v>#VALUE!</v>
      </c>
      <c r="O11" s="16" t="e">
        <f t="shared" si="1"/>
        <v>#VALUE!</v>
      </c>
      <c r="P11" s="16" t="e">
        <f t="shared" si="1"/>
        <v>#VALUE!</v>
      </c>
      <c r="Q11" s="16" t="e">
        <f t="shared" si="1"/>
        <v>#VALUE!</v>
      </c>
      <c r="R11" s="16"/>
    </row>
    <row r="12" spans="1:18" ht="15.75" customHeight="1">
      <c r="A12" s="2" t="s">
        <v>58</v>
      </c>
      <c r="B12" s="16"/>
      <c r="C12" s="16"/>
      <c r="D12" s="16"/>
      <c r="E12" s="16" t="e">
        <f>(ScenarioParameters!$B$4*ScenarioParameters!$B$2/4)*(1/1000)</f>
        <v>#VALUE!</v>
      </c>
      <c r="F12" s="16" t="e">
        <f>(ScenarioParameters!$B$4*ScenarioParameters!$B$2/4)*(1/1000)</f>
        <v>#VALUE!</v>
      </c>
      <c r="G12" s="16" t="e">
        <f>(ScenarioParameters!$B$4*ScenarioParameters!$B$2/4)*(1/1000)</f>
        <v>#VALUE!</v>
      </c>
      <c r="H12" s="16" t="e">
        <f>(ScenarioParameters!$B$4*ScenarioParameters!$B$2/4)*(1/1000)</f>
        <v>#VALUE!</v>
      </c>
      <c r="I12" s="16" t="e">
        <f>(ScenarioParameters!$B$4*ScenarioParameters!$B$2/4)*(1/1000)</f>
        <v>#VALUE!</v>
      </c>
      <c r="J12" s="16" t="e">
        <f>(ScenarioParameters!$B$4*ScenarioParameters!$B$2/4)*(1/1000)</f>
        <v>#VALUE!</v>
      </c>
      <c r="K12" s="16" t="e">
        <f>(ScenarioParameters!$B$4*ScenarioParameters!$B$2/4)*(1/1000)</f>
        <v>#VALUE!</v>
      </c>
      <c r="L12" s="16" t="e">
        <f>(ScenarioParameters!$B$4*ScenarioParameters!$B$2/4)*(1/1000)</f>
        <v>#VALUE!</v>
      </c>
      <c r="M12" s="16" t="e">
        <f>(ScenarioParameters!$B$4*ScenarioParameters!$B$2/4)*(1/1000)</f>
        <v>#VALUE!</v>
      </c>
      <c r="N12" s="16" t="e">
        <f>(ScenarioParameters!$B$4*ScenarioParameters!$B$2/4)*(1/1000)</f>
        <v>#VALUE!</v>
      </c>
      <c r="O12" s="16" t="e">
        <f>(ScenarioParameters!$B$4*ScenarioParameters!$B$2/4)*(1/1000)</f>
        <v>#VALUE!</v>
      </c>
      <c r="P12" s="16" t="e">
        <f>(ScenarioParameters!$B$4*ScenarioParameters!$B$2/4)*(1/1000)</f>
        <v>#VALUE!</v>
      </c>
      <c r="Q12" s="16" t="e">
        <f>(ScenarioParameters!$B$4*ScenarioParameters!$B$2/4)*(1/1000)</f>
        <v>#VALUE!</v>
      </c>
      <c r="R12" s="16"/>
    </row>
    <row r="13" spans="1:18" ht="15.75" customHeight="1">
      <c r="A13" s="2" t="s">
        <v>59</v>
      </c>
      <c r="B13" s="16"/>
      <c r="C13" s="16"/>
      <c r="D13" s="16"/>
      <c r="E13" s="16" t="e">
        <f>ScenarioParameters!$B$2/4</f>
        <v>#VALUE!</v>
      </c>
      <c r="F13" s="16" t="e">
        <f>ScenarioParameters!$B$2/4</f>
        <v>#VALUE!</v>
      </c>
      <c r="G13" s="16" t="e">
        <f>ScenarioParameters!$B$2/4</f>
        <v>#VALUE!</v>
      </c>
      <c r="H13" s="16" t="e">
        <f>ScenarioParameters!$B$2/4</f>
        <v>#VALUE!</v>
      </c>
      <c r="I13" s="16" t="e">
        <f>ScenarioParameters!$B$2/4</f>
        <v>#VALUE!</v>
      </c>
      <c r="J13" s="16" t="e">
        <f>ScenarioParameters!$B$2/4</f>
        <v>#VALUE!</v>
      </c>
      <c r="K13" s="16" t="e">
        <f>ScenarioParameters!$B$2/4</f>
        <v>#VALUE!</v>
      </c>
      <c r="L13" s="16" t="e">
        <f>ScenarioParameters!$B$2/4</f>
        <v>#VALUE!</v>
      </c>
      <c r="M13" s="16" t="e">
        <f>ScenarioParameters!$B$2/4</f>
        <v>#VALUE!</v>
      </c>
      <c r="N13" s="16" t="e">
        <f>ScenarioParameters!$B$2/4</f>
        <v>#VALUE!</v>
      </c>
      <c r="O13" s="16" t="e">
        <f>ScenarioParameters!$B$2/4</f>
        <v>#VALUE!</v>
      </c>
      <c r="P13" s="16" t="e">
        <f>ScenarioParameters!$B$2/4</f>
        <v>#VALUE!</v>
      </c>
      <c r="Q13" s="16" t="e">
        <f>ScenarioParameters!$B$2/4</f>
        <v>#VALUE!</v>
      </c>
      <c r="R13" s="16"/>
    </row>
    <row r="14" spans="1:18" ht="15.75" customHeight="1">
      <c r="B14" s="16"/>
      <c r="C14" s="16"/>
      <c r="D14" s="16"/>
      <c r="E14" s="16" t="e">
        <f t="shared" ref="E14:Q14" si="2">E12/E13</f>
        <v>#VALUE!</v>
      </c>
      <c r="F14" s="16" t="e">
        <f t="shared" si="2"/>
        <v>#VALUE!</v>
      </c>
      <c r="G14" s="16" t="e">
        <f t="shared" si="2"/>
        <v>#VALUE!</v>
      </c>
      <c r="H14" s="16" t="e">
        <f t="shared" si="2"/>
        <v>#VALUE!</v>
      </c>
      <c r="I14" s="16" t="e">
        <f t="shared" si="2"/>
        <v>#VALUE!</v>
      </c>
      <c r="J14" s="16" t="e">
        <f t="shared" si="2"/>
        <v>#VALUE!</v>
      </c>
      <c r="K14" s="16" t="e">
        <f t="shared" si="2"/>
        <v>#VALUE!</v>
      </c>
      <c r="L14" s="16" t="e">
        <f t="shared" si="2"/>
        <v>#VALUE!</v>
      </c>
      <c r="M14" s="16" t="e">
        <f t="shared" si="2"/>
        <v>#VALUE!</v>
      </c>
      <c r="N14" s="16" t="e">
        <f t="shared" si="2"/>
        <v>#VALUE!</v>
      </c>
      <c r="O14" s="16" t="e">
        <f t="shared" si="2"/>
        <v>#VALUE!</v>
      </c>
      <c r="P14" s="16" t="e">
        <f t="shared" si="2"/>
        <v>#VALUE!</v>
      </c>
      <c r="Q14" s="16" t="e">
        <f t="shared" si="2"/>
        <v>#VALUE!</v>
      </c>
      <c r="R14" s="16"/>
    </row>
    <row r="15" spans="1:18" ht="15.7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15.75" customHeight="1">
      <c r="A16" s="2" t="s">
        <v>34</v>
      </c>
      <c r="B16" s="20">
        <f t="shared" ref="B16:Q16" si="3">SUM(B6+B7+B8+B9+B12)</f>
        <v>-15.120000000000001</v>
      </c>
      <c r="C16" s="20">
        <f t="shared" si="3"/>
        <v>-18.144000000000002</v>
      </c>
      <c r="D16" s="20">
        <f t="shared" si="3"/>
        <v>-213.024</v>
      </c>
      <c r="E16" s="20" t="e">
        <f t="shared" si="3"/>
        <v>#VALUE!</v>
      </c>
      <c r="F16" s="20" t="e">
        <f t="shared" si="3"/>
        <v>#VALUE!</v>
      </c>
      <c r="G16" s="20" t="e">
        <f t="shared" si="3"/>
        <v>#VALUE!</v>
      </c>
      <c r="H16" s="20" t="e">
        <f t="shared" si="3"/>
        <v>#VALUE!</v>
      </c>
      <c r="I16" s="20" t="e">
        <f t="shared" si="3"/>
        <v>#VALUE!</v>
      </c>
      <c r="J16" s="20" t="e">
        <f t="shared" si="3"/>
        <v>#VALUE!</v>
      </c>
      <c r="K16" s="20" t="e">
        <f t="shared" si="3"/>
        <v>#VALUE!</v>
      </c>
      <c r="L16" s="20" t="e">
        <f t="shared" si="3"/>
        <v>#VALUE!</v>
      </c>
      <c r="M16" s="20" t="e">
        <f t="shared" si="3"/>
        <v>#VALUE!</v>
      </c>
      <c r="N16" s="20" t="e">
        <f t="shared" si="3"/>
        <v>#VALUE!</v>
      </c>
      <c r="O16" s="20" t="e">
        <f t="shared" si="3"/>
        <v>#VALUE!</v>
      </c>
      <c r="P16" s="20" t="e">
        <f t="shared" si="3"/>
        <v>#VALUE!</v>
      </c>
      <c r="Q16" s="20" t="e">
        <f t="shared" si="3"/>
        <v>#VALUE!</v>
      </c>
      <c r="R16" s="20"/>
    </row>
    <row r="17" spans="1:18" ht="15.75" customHeight="1">
      <c r="A17" s="2" t="s">
        <v>35</v>
      </c>
      <c r="B17" s="20">
        <f>B16</f>
        <v>-15.120000000000001</v>
      </c>
      <c r="C17" s="20">
        <f>C16/(1+(ScenarioParameters!$B$8/100)/4)^B3</f>
        <v>-17.831941031941032</v>
      </c>
      <c r="D17" s="20">
        <f>D16/(1+(ScenarioParameters!$B$8/100)/4)^C3</f>
        <v>-205.75940693876811</v>
      </c>
      <c r="E17" s="20" t="e">
        <f>E16/(1+(ScenarioParameters!$B$8/100)/4)^D3</f>
        <v>#VALUE!</v>
      </c>
      <c r="F17" s="20" t="e">
        <f>F16/(1+(ScenarioParameters!$B$8/100)/4)^E3</f>
        <v>#VALUE!</v>
      </c>
      <c r="G17" s="20" t="e">
        <f>G16/(1+(ScenarioParameters!$B$8/100)/4)^F3</f>
        <v>#VALUE!</v>
      </c>
      <c r="H17" s="20" t="e">
        <f>H16/(1+(ScenarioParameters!$B$8/100)/4)^G3</f>
        <v>#VALUE!</v>
      </c>
      <c r="I17" s="20" t="e">
        <f>I16/(1+(ScenarioParameters!$B$8/100)/4)^H3</f>
        <v>#VALUE!</v>
      </c>
      <c r="J17" s="20" t="e">
        <f>J16/(1+(ScenarioParameters!$B$8/100)/4)^I3</f>
        <v>#VALUE!</v>
      </c>
      <c r="K17" s="20" t="e">
        <f>K16/(1+(ScenarioParameters!$B$8/100)/4)^J3</f>
        <v>#VALUE!</v>
      </c>
      <c r="L17" s="20" t="e">
        <f>L16/(1+(ScenarioParameters!$B$8/100)/4)^K3</f>
        <v>#VALUE!</v>
      </c>
      <c r="M17" s="20" t="e">
        <f>M16/(1+(ScenarioParameters!$B$8/100)/4)^L3</f>
        <v>#VALUE!</v>
      </c>
      <c r="N17" s="20" t="e">
        <f>N16/(1+(ScenarioParameters!$B$8/100)/4)^M3</f>
        <v>#VALUE!</v>
      </c>
      <c r="O17" s="20" t="e">
        <f>O16/(1+(ScenarioParameters!$B$8/100)/4)^N3</f>
        <v>#VALUE!</v>
      </c>
      <c r="P17" s="20" t="e">
        <f>P16/(1+(ScenarioParameters!$B$8/100)/4)^O3</f>
        <v>#VALUE!</v>
      </c>
      <c r="Q17" s="20" t="e">
        <f>Q16/(1+(ScenarioParameters!$B$8/100)/4)^P3</f>
        <v>#VALUE!</v>
      </c>
      <c r="R17" s="20"/>
    </row>
    <row r="18" spans="1:18" ht="15.75" customHeight="1"/>
    <row r="19" spans="1:18" ht="15.75" customHeight="1">
      <c r="A19" s="2" t="s">
        <v>36</v>
      </c>
      <c r="B19" s="20" t="e">
        <f>SUM(B17:Q17)</f>
        <v>#VALUE!</v>
      </c>
    </row>
    <row r="20" spans="1:18" ht="15.75" customHeight="1"/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000"/>
  <sheetViews>
    <sheetView workbookViewId="0"/>
  </sheetViews>
  <sheetFormatPr defaultColWidth="11.25" defaultRowHeight="15" customHeight="1"/>
  <cols>
    <col min="1" max="1" width="21.33203125" customWidth="1"/>
    <col min="2" max="26" width="10.58203125" customWidth="1"/>
  </cols>
  <sheetData>
    <row r="1" spans="1:17" ht="15.75" customHeight="1">
      <c r="A1" s="2" t="s">
        <v>51</v>
      </c>
    </row>
    <row r="2" spans="1:17" ht="15.75" customHeight="1">
      <c r="B2" s="2" t="s">
        <v>52</v>
      </c>
      <c r="F2" s="2" t="s">
        <v>53</v>
      </c>
      <c r="J2" s="2" t="s">
        <v>54</v>
      </c>
      <c r="N2" s="2" t="s">
        <v>55</v>
      </c>
    </row>
    <row r="3" spans="1:17" ht="15.75" customHeight="1">
      <c r="A3" s="2" t="s">
        <v>10</v>
      </c>
      <c r="B3" s="2">
        <v>1</v>
      </c>
      <c r="C3" s="2">
        <f t="shared" ref="C3:Q3" si="0">B3+1</f>
        <v>2</v>
      </c>
      <c r="D3" s="2">
        <f t="shared" si="0"/>
        <v>3</v>
      </c>
      <c r="E3" s="2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2">
        <f t="shared" si="0"/>
        <v>9</v>
      </c>
      <c r="K3" s="2">
        <f t="shared" si="0"/>
        <v>10</v>
      </c>
      <c r="L3" s="2">
        <f t="shared" si="0"/>
        <v>11</v>
      </c>
      <c r="M3" s="2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</row>
    <row r="4" spans="1:17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24</v>
      </c>
      <c r="F4" s="2" t="s">
        <v>20</v>
      </c>
      <c r="G4" s="2" t="s">
        <v>21</v>
      </c>
      <c r="H4" s="2" t="s">
        <v>22</v>
      </c>
      <c r="I4" s="2" t="s">
        <v>24</v>
      </c>
      <c r="J4" s="2" t="s">
        <v>20</v>
      </c>
      <c r="K4" s="2" t="s">
        <v>21</v>
      </c>
      <c r="L4" s="2" t="s">
        <v>22</v>
      </c>
      <c r="M4" s="2" t="s">
        <v>24</v>
      </c>
      <c r="N4" s="2" t="s">
        <v>20</v>
      </c>
      <c r="O4" s="2" t="s">
        <v>21</v>
      </c>
      <c r="P4" s="2" t="s">
        <v>22</v>
      </c>
      <c r="Q4" s="2" t="s">
        <v>24</v>
      </c>
    </row>
    <row r="5" spans="1:17" ht="15.75" customHeight="1"/>
    <row r="6" spans="1:17" ht="15.75" customHeight="1">
      <c r="A6" s="2" t="s">
        <v>25</v>
      </c>
      <c r="B6" s="16">
        <f>(-1)*ScenarioParameters!$B$3/4*(1/1000)</f>
        <v>-15.120000000000001</v>
      </c>
      <c r="C6" s="16">
        <f>(-1)*ScenarioParameters!$B$3/4*(1/1000)</f>
        <v>-15.120000000000001</v>
      </c>
      <c r="D6" s="16">
        <f>(-1)*ScenarioParameters!$B$3/4*(1/1000)</f>
        <v>-15.120000000000001</v>
      </c>
      <c r="E6" s="16">
        <f>(-1)*ScenarioParameters!$B$3/4*(1/1000)</f>
        <v>-15.120000000000001</v>
      </c>
      <c r="F6" s="16">
        <f>(-1)*ScenarioParameters!$B$3/4*(1/1000)</f>
        <v>-15.120000000000001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ht="15.75" customHeight="1">
      <c r="A7" s="2" t="s">
        <v>26</v>
      </c>
      <c r="B7" s="16"/>
      <c r="C7" s="16"/>
      <c r="D7" s="16"/>
      <c r="E7" s="16"/>
      <c r="F7" s="16">
        <f>(-1)*ScenarioParameters!$B$6/2*(1/1000)</f>
        <v>-3.024</v>
      </c>
      <c r="G7" s="16">
        <f>(-1)*ScenarioParameters!$B$6/2*(1/1000)</f>
        <v>-3.024</v>
      </c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ht="15.75" customHeight="1">
      <c r="A8" s="2" t="s">
        <v>27</v>
      </c>
      <c r="B8" s="16"/>
      <c r="C8" s="16"/>
      <c r="D8" s="16"/>
      <c r="E8" s="16"/>
      <c r="F8" s="16"/>
      <c r="G8" s="16">
        <f>(-1)*ScenarioParameters!$B$7/4*(1/1000)</f>
        <v>-210</v>
      </c>
      <c r="H8" s="16">
        <f>(-1)*ScenarioParameters!$B$7/4*(1/1000)</f>
        <v>-210</v>
      </c>
      <c r="I8" s="16">
        <f>(-1)*ScenarioParameters!$B$7/4*(1/1000)</f>
        <v>-210</v>
      </c>
      <c r="J8" s="16">
        <f>(-1)*ScenarioParameters!$B$7/4*(1/1000)</f>
        <v>-210</v>
      </c>
      <c r="K8" s="16">
        <f>(-1)*ScenarioParameters!$B$7/4*(1/1000)</f>
        <v>-210</v>
      </c>
      <c r="L8" s="16">
        <f>(-1)*ScenarioParameters!$B$7/4*(1/1000)</f>
        <v>-210</v>
      </c>
      <c r="M8" s="16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</row>
    <row r="9" spans="1:17" ht="15.75" customHeight="1">
      <c r="A9" s="2" t="s">
        <v>56</v>
      </c>
      <c r="B9" s="16"/>
      <c r="C9" s="16"/>
      <c r="D9" s="16"/>
      <c r="E9" s="16"/>
      <c r="F9" s="16"/>
      <c r="G9" s="16"/>
      <c r="H9" s="16" t="e">
        <f>(-1)*(ScenarioParameters!$B$5)*(ScenarioParameters!$B$2/4)*(1/1000)</f>
        <v>#VALUE!</v>
      </c>
      <c r="I9" s="16" t="e">
        <f>(-1)*(ScenarioParameters!$B$5)*(ScenarioParameters!$B$2/4)*(1/1000)</f>
        <v>#VALUE!</v>
      </c>
      <c r="J9" s="16" t="e">
        <f>(-1)*(ScenarioParameters!$B$5)*(ScenarioParameters!$B$2/4)*(1/1000)</f>
        <v>#VALUE!</v>
      </c>
      <c r="K9" s="16" t="e">
        <f>(-1)*(ScenarioParameters!$B$5)*(ScenarioParameters!$B$2/4)*(1/1000)</f>
        <v>#VALUE!</v>
      </c>
      <c r="L9" s="16" t="e">
        <f>(-1)*(ScenarioParameters!$B$5)*(ScenarioParameters!$B$2/4)*(1/1000)</f>
        <v>#VALUE!</v>
      </c>
      <c r="M9" s="16" t="e">
        <f>(-1)*(ScenarioParameters!$B$5)*(ScenarioParameters!$B$2/4)*(1/1000)</f>
        <v>#VALUE!</v>
      </c>
      <c r="N9" s="16" t="e">
        <f>(-1)*(ScenarioParameters!$B$5)*(ScenarioParameters!$B$2/4)*(1/1000)</f>
        <v>#VALUE!</v>
      </c>
      <c r="O9" s="16" t="e">
        <f>(-1)*(ScenarioParameters!$B$5)*(ScenarioParameters!$B$2/4)*(1/1000)</f>
        <v>#VALUE!</v>
      </c>
      <c r="P9" s="16" t="e">
        <f>(-1)*(ScenarioParameters!$B$5)*(ScenarioParameters!$B$2/4)*(1/1000)</f>
        <v>#VALUE!</v>
      </c>
      <c r="Q9" s="16" t="e">
        <f>(-1)*(ScenarioParameters!$B$5)*(ScenarioParameters!$B$2/4)*(1/1000)</f>
        <v>#VALUE!</v>
      </c>
    </row>
    <row r="10" spans="1:17" ht="15.75" customHeight="1">
      <c r="A10" s="2" t="s">
        <v>57</v>
      </c>
      <c r="B10" s="16"/>
      <c r="C10" s="16"/>
      <c r="D10" s="16"/>
      <c r="E10" s="16"/>
      <c r="F10" s="16"/>
      <c r="G10" s="16"/>
      <c r="H10" s="16" t="e">
        <f>ScenarioParameters!$B$2/4</f>
        <v>#VALUE!</v>
      </c>
      <c r="I10" s="16" t="e">
        <f>ScenarioParameters!$B$2/4</f>
        <v>#VALUE!</v>
      </c>
      <c r="J10" s="16" t="e">
        <f>ScenarioParameters!$B$2/4</f>
        <v>#VALUE!</v>
      </c>
      <c r="K10" s="16" t="e">
        <f>ScenarioParameters!$B$2/4</f>
        <v>#VALUE!</v>
      </c>
      <c r="L10" s="16" t="e">
        <f>ScenarioParameters!$B$2/4</f>
        <v>#VALUE!</v>
      </c>
      <c r="M10" s="16" t="e">
        <f>ScenarioParameters!$B$2/4</f>
        <v>#VALUE!</v>
      </c>
      <c r="N10" s="16" t="e">
        <f>ScenarioParameters!$B$2/4</f>
        <v>#VALUE!</v>
      </c>
      <c r="O10" s="16" t="e">
        <f>ScenarioParameters!$B$2/4</f>
        <v>#VALUE!</v>
      </c>
      <c r="P10" s="16" t="e">
        <f>ScenarioParameters!$B$2/4</f>
        <v>#VALUE!</v>
      </c>
      <c r="Q10" s="16" t="e">
        <f>ScenarioParameters!$B$2/4</f>
        <v>#VALUE!</v>
      </c>
    </row>
    <row r="11" spans="1:17" ht="15.75" customHeight="1">
      <c r="A11" s="2" t="s">
        <v>31</v>
      </c>
      <c r="B11" s="16"/>
      <c r="C11" s="16"/>
      <c r="D11" s="16"/>
      <c r="E11" s="16"/>
      <c r="F11" s="16"/>
      <c r="G11" s="16"/>
      <c r="H11" s="16" t="e">
        <f t="shared" ref="H11:Q11" si="1">H9/H10</f>
        <v>#VALUE!</v>
      </c>
      <c r="I11" s="16" t="e">
        <f t="shared" si="1"/>
        <v>#VALUE!</v>
      </c>
      <c r="J11" s="16" t="e">
        <f t="shared" si="1"/>
        <v>#VALUE!</v>
      </c>
      <c r="K11" s="16" t="e">
        <f t="shared" si="1"/>
        <v>#VALUE!</v>
      </c>
      <c r="L11" s="16" t="e">
        <f t="shared" si="1"/>
        <v>#VALUE!</v>
      </c>
      <c r="M11" s="16" t="e">
        <f t="shared" si="1"/>
        <v>#VALUE!</v>
      </c>
      <c r="N11" s="16" t="e">
        <f t="shared" si="1"/>
        <v>#VALUE!</v>
      </c>
      <c r="O11" s="16" t="e">
        <f t="shared" si="1"/>
        <v>#VALUE!</v>
      </c>
      <c r="P11" s="16" t="e">
        <f t="shared" si="1"/>
        <v>#VALUE!</v>
      </c>
      <c r="Q11" s="16" t="e">
        <f t="shared" si="1"/>
        <v>#VALUE!</v>
      </c>
    </row>
    <row r="12" spans="1:17" ht="15.75" customHeight="1">
      <c r="A12" s="2" t="s">
        <v>58</v>
      </c>
      <c r="B12" s="16"/>
      <c r="C12" s="16"/>
      <c r="D12" s="16"/>
      <c r="E12" s="16"/>
      <c r="F12" s="16"/>
      <c r="G12" s="16"/>
      <c r="H12" s="16" t="e">
        <f>(ScenarioParameters!$B$4*ScenarioParameters!$B$2/4)*(1/1000)</f>
        <v>#VALUE!</v>
      </c>
      <c r="I12" s="16" t="e">
        <f>(ScenarioParameters!$B$4*ScenarioParameters!$B$2/4)*(1/1000)</f>
        <v>#VALUE!</v>
      </c>
      <c r="J12" s="16" t="e">
        <f>(ScenarioParameters!$B$4*ScenarioParameters!$B$2/4)*(1/1000)</f>
        <v>#VALUE!</v>
      </c>
      <c r="K12" s="16" t="e">
        <f>(ScenarioParameters!$B$4*ScenarioParameters!$B$2/4)*(1/1000)</f>
        <v>#VALUE!</v>
      </c>
      <c r="L12" s="16" t="e">
        <f>(ScenarioParameters!$B$4*ScenarioParameters!$B$2/4)*(1/1000)</f>
        <v>#VALUE!</v>
      </c>
      <c r="M12" s="16" t="e">
        <f>(ScenarioParameters!$B$4*ScenarioParameters!$B$2/4)*(1/1000)</f>
        <v>#VALUE!</v>
      </c>
      <c r="N12" s="16" t="e">
        <f>(ScenarioParameters!$B$4*ScenarioParameters!$B$2/4)*(1/1000)</f>
        <v>#VALUE!</v>
      </c>
      <c r="O12" s="16" t="e">
        <f>(ScenarioParameters!$B$4*ScenarioParameters!$B$2/4)*(1/1000)</f>
        <v>#VALUE!</v>
      </c>
      <c r="P12" s="16" t="e">
        <f>(ScenarioParameters!$B$4*ScenarioParameters!$B$2/4)*(1/1000)</f>
        <v>#VALUE!</v>
      </c>
      <c r="Q12" s="16" t="e">
        <f>(ScenarioParameters!$B$4*ScenarioParameters!$B$2/4)*(1/1000)</f>
        <v>#VALUE!</v>
      </c>
    </row>
    <row r="13" spans="1:17" ht="15.75" customHeight="1">
      <c r="A13" s="2" t="s">
        <v>59</v>
      </c>
      <c r="B13" s="16"/>
      <c r="C13" s="16"/>
      <c r="D13" s="16"/>
      <c r="E13" s="16"/>
      <c r="F13" s="16"/>
      <c r="G13" s="16"/>
      <c r="H13" s="16" t="e">
        <f>ScenarioParameters!$B$2/4</f>
        <v>#VALUE!</v>
      </c>
      <c r="I13" s="16" t="e">
        <f>ScenarioParameters!$B$2/4</f>
        <v>#VALUE!</v>
      </c>
      <c r="J13" s="16" t="e">
        <f>ScenarioParameters!$B$2/4</f>
        <v>#VALUE!</v>
      </c>
      <c r="K13" s="16" t="e">
        <f>ScenarioParameters!$B$2/4</f>
        <v>#VALUE!</v>
      </c>
      <c r="L13" s="16" t="e">
        <f>ScenarioParameters!$B$2/4</f>
        <v>#VALUE!</v>
      </c>
      <c r="M13" s="16" t="e">
        <f>ScenarioParameters!$B$2/4</f>
        <v>#VALUE!</v>
      </c>
      <c r="N13" s="16" t="e">
        <f>ScenarioParameters!$B$2/4</f>
        <v>#VALUE!</v>
      </c>
      <c r="O13" s="16" t="e">
        <f>ScenarioParameters!$B$2/4</f>
        <v>#VALUE!</v>
      </c>
      <c r="P13" s="16" t="e">
        <f>ScenarioParameters!$B$2/4</f>
        <v>#VALUE!</v>
      </c>
      <c r="Q13" s="16" t="e">
        <f>ScenarioParameters!$B$2/4</f>
        <v>#VALUE!</v>
      </c>
    </row>
    <row r="14" spans="1:17" ht="15.75" customHeight="1">
      <c r="B14" s="16"/>
      <c r="C14" s="16"/>
      <c r="D14" s="16"/>
      <c r="E14" s="16"/>
      <c r="F14" s="16"/>
      <c r="G14" s="16"/>
      <c r="H14" s="16" t="e">
        <f t="shared" ref="H14:Q14" si="2">H12/H13</f>
        <v>#VALUE!</v>
      </c>
      <c r="I14" s="16" t="e">
        <f t="shared" si="2"/>
        <v>#VALUE!</v>
      </c>
      <c r="J14" s="16" t="e">
        <f t="shared" si="2"/>
        <v>#VALUE!</v>
      </c>
      <c r="K14" s="16" t="e">
        <f t="shared" si="2"/>
        <v>#VALUE!</v>
      </c>
      <c r="L14" s="16" t="e">
        <f t="shared" si="2"/>
        <v>#VALUE!</v>
      </c>
      <c r="M14" s="16" t="e">
        <f t="shared" si="2"/>
        <v>#VALUE!</v>
      </c>
      <c r="N14" s="16" t="e">
        <f t="shared" si="2"/>
        <v>#VALUE!</v>
      </c>
      <c r="O14" s="16" t="e">
        <f t="shared" si="2"/>
        <v>#VALUE!</v>
      </c>
      <c r="P14" s="16" t="e">
        <f t="shared" si="2"/>
        <v>#VALUE!</v>
      </c>
      <c r="Q14" s="16" t="e">
        <f t="shared" si="2"/>
        <v>#VALUE!</v>
      </c>
    </row>
    <row r="15" spans="1:17" ht="15.7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ht="15.75" customHeight="1">
      <c r="A16" s="2" t="s">
        <v>34</v>
      </c>
      <c r="B16" s="20">
        <f t="shared" ref="B16:Q16" si="3">SUM(B6+B7+B8+B9+B12)</f>
        <v>-15.120000000000001</v>
      </c>
      <c r="C16" s="20">
        <f t="shared" si="3"/>
        <v>-15.120000000000001</v>
      </c>
      <c r="D16" s="20">
        <f t="shared" si="3"/>
        <v>-15.120000000000001</v>
      </c>
      <c r="E16" s="20">
        <f t="shared" si="3"/>
        <v>-15.120000000000001</v>
      </c>
      <c r="F16" s="20">
        <f t="shared" si="3"/>
        <v>-18.144000000000002</v>
      </c>
      <c r="G16" s="20">
        <f t="shared" si="3"/>
        <v>-213.024</v>
      </c>
      <c r="H16" s="20" t="e">
        <f t="shared" si="3"/>
        <v>#VALUE!</v>
      </c>
      <c r="I16" s="20" t="e">
        <f t="shared" si="3"/>
        <v>#VALUE!</v>
      </c>
      <c r="J16" s="20" t="e">
        <f t="shared" si="3"/>
        <v>#VALUE!</v>
      </c>
      <c r="K16" s="20" t="e">
        <f t="shared" si="3"/>
        <v>#VALUE!</v>
      </c>
      <c r="L16" s="20" t="e">
        <f t="shared" si="3"/>
        <v>#VALUE!</v>
      </c>
      <c r="M16" s="20" t="e">
        <f t="shared" si="3"/>
        <v>#VALUE!</v>
      </c>
      <c r="N16" s="20" t="e">
        <f t="shared" si="3"/>
        <v>#VALUE!</v>
      </c>
      <c r="O16" s="20" t="e">
        <f t="shared" si="3"/>
        <v>#VALUE!</v>
      </c>
      <c r="P16" s="20" t="e">
        <f t="shared" si="3"/>
        <v>#VALUE!</v>
      </c>
      <c r="Q16" s="20" t="e">
        <f t="shared" si="3"/>
        <v>#VALUE!</v>
      </c>
    </row>
    <row r="17" spans="1:17" ht="15.75" customHeight="1">
      <c r="A17" s="2" t="s">
        <v>35</v>
      </c>
      <c r="B17" s="20">
        <f>B16</f>
        <v>-15.120000000000001</v>
      </c>
      <c r="C17" s="20">
        <f>C16/(1+(ScenarioParameters!$B$8/100)/4)^B3</f>
        <v>-14.85995085995086</v>
      </c>
      <c r="D17" s="20">
        <f>D16/(1+(ScenarioParameters!$B$8/100)/4)^C3</f>
        <v>-14.604374309534014</v>
      </c>
      <c r="E17" s="20">
        <f>E16/(1+(ScenarioParameters!$B$8/100)/4)^D3</f>
        <v>-14.353193424603454</v>
      </c>
      <c r="F17" s="20">
        <f>F16/(1+(ScenarioParameters!$B$8/100)/4)^E3</f>
        <v>-16.927599124839453</v>
      </c>
      <c r="G17" s="20">
        <f>G16/(1+(ScenarioParameters!$B$8/100)/4)^F3</f>
        <v>-195.32437610607354</v>
      </c>
      <c r="H17" s="20" t="e">
        <f>H16/(1+(ScenarioParameters!$B$8/100)/4)^G3</f>
        <v>#VALUE!</v>
      </c>
      <c r="I17" s="20" t="e">
        <f>I16/(1+(ScenarioParameters!$B$8/100)/4)^H3</f>
        <v>#VALUE!</v>
      </c>
      <c r="J17" s="20" t="e">
        <f>J16/(1+(ScenarioParameters!$B$8/100)/4)^I3</f>
        <v>#VALUE!</v>
      </c>
      <c r="K17" s="20" t="e">
        <f>K16/(1+(ScenarioParameters!$B$8/100)/4)^J3</f>
        <v>#VALUE!</v>
      </c>
      <c r="L17" s="20" t="e">
        <f>L16/(1+(ScenarioParameters!$B$8/100)/4)^K3</f>
        <v>#VALUE!</v>
      </c>
      <c r="M17" s="20" t="e">
        <f>M16/(1+(ScenarioParameters!$B$8/100)/4)^L3</f>
        <v>#VALUE!</v>
      </c>
      <c r="N17" s="20" t="e">
        <f>N16/(1+(ScenarioParameters!$B$8/100)/4)^M3</f>
        <v>#VALUE!</v>
      </c>
      <c r="O17" s="20" t="e">
        <f>O16/(1+(ScenarioParameters!$B$8/100)/4)^N3</f>
        <v>#VALUE!</v>
      </c>
      <c r="P17" s="20" t="e">
        <f>P16/(1+(ScenarioParameters!$B$8/100)/4)^O3</f>
        <v>#VALUE!</v>
      </c>
      <c r="Q17" s="20" t="e">
        <f>Q16/(1+(ScenarioParameters!$B$8/100)/4)^P3</f>
        <v>#VALUE!</v>
      </c>
    </row>
    <row r="18" spans="1:17" ht="15.75" customHeight="1"/>
    <row r="19" spans="1:17" ht="15.75" customHeight="1">
      <c r="A19" s="2" t="s">
        <v>36</v>
      </c>
      <c r="B19" s="20" t="e">
        <f>SUM(B17:Q17)</f>
        <v>#VALUE!</v>
      </c>
    </row>
    <row r="20" spans="1:17" ht="15.75" customHeight="1"/>
    <row r="21" spans="1:17" ht="15.75" customHeight="1"/>
    <row r="22" spans="1:17" ht="15.75" customHeight="1"/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000"/>
  <sheetViews>
    <sheetView workbookViewId="0"/>
  </sheetViews>
  <sheetFormatPr defaultColWidth="11.25" defaultRowHeight="15" customHeight="1"/>
  <cols>
    <col min="1" max="1" width="21.33203125" customWidth="1"/>
    <col min="2" max="26" width="10.58203125" customWidth="1"/>
  </cols>
  <sheetData>
    <row r="1" spans="1:17" ht="15.75" customHeight="1">
      <c r="A1" s="2" t="s">
        <v>51</v>
      </c>
    </row>
    <row r="2" spans="1:17" ht="15.75" customHeight="1">
      <c r="B2" s="2" t="s">
        <v>52</v>
      </c>
      <c r="F2" s="2" t="s">
        <v>53</v>
      </c>
      <c r="J2" s="2" t="s">
        <v>54</v>
      </c>
      <c r="N2" s="2" t="s">
        <v>55</v>
      </c>
    </row>
    <row r="3" spans="1:17" ht="15.75" customHeight="1">
      <c r="A3" s="2" t="s">
        <v>10</v>
      </c>
      <c r="B3" s="2">
        <v>1</v>
      </c>
      <c r="C3" s="2">
        <f t="shared" ref="C3:Q3" si="0">B3+1</f>
        <v>2</v>
      </c>
      <c r="D3" s="2">
        <f t="shared" si="0"/>
        <v>3</v>
      </c>
      <c r="E3" s="2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2">
        <f t="shared" si="0"/>
        <v>9</v>
      </c>
      <c r="K3" s="2">
        <f t="shared" si="0"/>
        <v>10</v>
      </c>
      <c r="L3" s="2">
        <f t="shared" si="0"/>
        <v>11</v>
      </c>
      <c r="M3" s="2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</row>
    <row r="4" spans="1:17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24</v>
      </c>
      <c r="F4" s="2" t="s">
        <v>20</v>
      </c>
      <c r="G4" s="2" t="s">
        <v>21</v>
      </c>
      <c r="H4" s="2" t="s">
        <v>22</v>
      </c>
      <c r="I4" s="2" t="s">
        <v>24</v>
      </c>
      <c r="J4" s="2" t="s">
        <v>20</v>
      </c>
      <c r="K4" s="2" t="s">
        <v>21</v>
      </c>
      <c r="L4" s="2" t="s">
        <v>22</v>
      </c>
      <c r="M4" s="2" t="s">
        <v>24</v>
      </c>
      <c r="N4" s="2" t="s">
        <v>20</v>
      </c>
      <c r="O4" s="2" t="s">
        <v>21</v>
      </c>
      <c r="P4" s="2" t="s">
        <v>22</v>
      </c>
      <c r="Q4" s="2" t="s">
        <v>24</v>
      </c>
    </row>
    <row r="5" spans="1:17" ht="15.75" customHeight="1"/>
    <row r="6" spans="1:17" ht="15.75" customHeight="1">
      <c r="A6" s="2" t="s">
        <v>25</v>
      </c>
      <c r="B6" s="16">
        <f>(-1)*ScenarioParameters!$B$3/4*(1/1000)</f>
        <v>-15.120000000000001</v>
      </c>
      <c r="C6" s="16">
        <f>(-1)*ScenarioParameters!$B$3/4*(1/1000)</f>
        <v>-15.120000000000001</v>
      </c>
      <c r="D6" s="16">
        <f>(-1)*ScenarioParameters!$B$3/4*(1/1000)</f>
        <v>-15.120000000000001</v>
      </c>
      <c r="E6" s="16">
        <f>(-1)*ScenarioParameters!$B$3/4*(1/1000)</f>
        <v>-15.120000000000001</v>
      </c>
      <c r="F6" s="16">
        <f>(-1)*ScenarioParameters!$B$3/4*(1/1000)</f>
        <v>-15.120000000000001</v>
      </c>
      <c r="G6" s="16">
        <f>(-1)*ScenarioParameters!$B$3/4*(1/1000)</f>
        <v>-15.120000000000001</v>
      </c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ht="15.75" customHeight="1">
      <c r="A7" s="2" t="s">
        <v>26</v>
      </c>
      <c r="B7" s="16"/>
      <c r="C7" s="16"/>
      <c r="D7" s="16"/>
      <c r="E7" s="16"/>
      <c r="F7" s="16"/>
      <c r="G7" s="16">
        <f>(-1)*ScenarioParameters!$B$6/2*(1/1000)</f>
        <v>-3.024</v>
      </c>
      <c r="H7" s="16">
        <f>(-1)*ScenarioParameters!$B$6/2*(1/1000)</f>
        <v>-3.024</v>
      </c>
      <c r="I7" s="16"/>
      <c r="J7" s="16"/>
      <c r="K7" s="16"/>
      <c r="L7" s="16"/>
      <c r="M7" s="16"/>
      <c r="N7" s="16"/>
      <c r="O7" s="16"/>
      <c r="P7" s="16"/>
      <c r="Q7" s="16"/>
    </row>
    <row r="8" spans="1:17" ht="15.75" customHeight="1">
      <c r="A8" s="2" t="s">
        <v>27</v>
      </c>
      <c r="B8" s="16"/>
      <c r="C8" s="16"/>
      <c r="D8" s="16"/>
      <c r="E8" s="16"/>
      <c r="F8" s="16"/>
      <c r="G8" s="16"/>
      <c r="H8" s="16">
        <f>(-1)*ScenarioParameters!$B$7/4*(1/1000)</f>
        <v>-210</v>
      </c>
      <c r="I8" s="16">
        <f>(-1)*ScenarioParameters!$B$7/4*(1/1000)</f>
        <v>-210</v>
      </c>
      <c r="J8" s="16">
        <f>(-1)*ScenarioParameters!$B$7/4*(1/1000)</f>
        <v>-210</v>
      </c>
      <c r="K8" s="16">
        <f>(-1)*ScenarioParameters!$B$7/4*(1/1000)</f>
        <v>-210</v>
      </c>
      <c r="L8" s="16">
        <f>(-1)*ScenarioParameters!$B$7/4*(1/1000)</f>
        <v>-210</v>
      </c>
      <c r="M8" s="16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</row>
    <row r="9" spans="1:17" ht="15.75" customHeight="1">
      <c r="A9" s="2" t="s">
        <v>56</v>
      </c>
      <c r="B9" s="16"/>
      <c r="C9" s="16"/>
      <c r="D9" s="16"/>
      <c r="E9" s="16"/>
      <c r="F9" s="16"/>
      <c r="G9" s="16"/>
      <c r="H9" s="16"/>
      <c r="I9" s="16" t="e">
        <f>(-1)*(ScenarioParameters!$B$5)*(ScenarioParameters!$B$2/4)*(1/1000)</f>
        <v>#VALUE!</v>
      </c>
      <c r="J9" s="16" t="e">
        <f>(-1)*(ScenarioParameters!$B$5)*(ScenarioParameters!$B$2/4)*(1/1000)</f>
        <v>#VALUE!</v>
      </c>
      <c r="K9" s="16" t="e">
        <f>(-1)*(ScenarioParameters!$B$5)*(ScenarioParameters!$B$2/4)*(1/1000)</f>
        <v>#VALUE!</v>
      </c>
      <c r="L9" s="16" t="e">
        <f>(-1)*(ScenarioParameters!$B$5)*(ScenarioParameters!$B$2/4)*(1/1000)</f>
        <v>#VALUE!</v>
      </c>
      <c r="M9" s="16" t="e">
        <f>(-1)*(ScenarioParameters!$B$5)*(ScenarioParameters!$B$2/4)*(1/1000)</f>
        <v>#VALUE!</v>
      </c>
      <c r="N9" s="16" t="e">
        <f>(-1)*(ScenarioParameters!$B$5)*(ScenarioParameters!$B$2/4)*(1/1000)</f>
        <v>#VALUE!</v>
      </c>
      <c r="O9" s="16" t="e">
        <f>(-1)*(ScenarioParameters!$B$5)*(ScenarioParameters!$B$2/4)*(1/1000)</f>
        <v>#VALUE!</v>
      </c>
      <c r="P9" s="16" t="e">
        <f>(-1)*(ScenarioParameters!$B$5)*(ScenarioParameters!$B$2/4)*(1/1000)</f>
        <v>#VALUE!</v>
      </c>
      <c r="Q9" s="16" t="e">
        <f>(-1)*(ScenarioParameters!$B$5)*(ScenarioParameters!$B$2/4)*(1/1000)</f>
        <v>#VALUE!</v>
      </c>
    </row>
    <row r="10" spans="1:17" ht="15.75" customHeight="1">
      <c r="A10" s="2" t="s">
        <v>57</v>
      </c>
      <c r="B10" s="16"/>
      <c r="C10" s="16"/>
      <c r="D10" s="16"/>
      <c r="E10" s="16"/>
      <c r="F10" s="16"/>
      <c r="G10" s="16"/>
      <c r="H10" s="16"/>
      <c r="I10" s="16" t="e">
        <f>ScenarioParameters!$B$2/4</f>
        <v>#VALUE!</v>
      </c>
      <c r="J10" s="16" t="e">
        <f>ScenarioParameters!$B$2/4</f>
        <v>#VALUE!</v>
      </c>
      <c r="K10" s="16" t="e">
        <f>ScenarioParameters!$B$2/4</f>
        <v>#VALUE!</v>
      </c>
      <c r="L10" s="16" t="e">
        <f>ScenarioParameters!$B$2/4</f>
        <v>#VALUE!</v>
      </c>
      <c r="M10" s="16" t="e">
        <f>ScenarioParameters!$B$2/4</f>
        <v>#VALUE!</v>
      </c>
      <c r="N10" s="16" t="e">
        <f>ScenarioParameters!$B$2/4</f>
        <v>#VALUE!</v>
      </c>
      <c r="O10" s="16" t="e">
        <f>ScenarioParameters!$B$2/4</f>
        <v>#VALUE!</v>
      </c>
      <c r="P10" s="16" t="e">
        <f>ScenarioParameters!$B$2/4</f>
        <v>#VALUE!</v>
      </c>
      <c r="Q10" s="16" t="e">
        <f>ScenarioParameters!$B$2/4</f>
        <v>#VALUE!</v>
      </c>
    </row>
    <row r="11" spans="1:17" ht="15.75" customHeight="1">
      <c r="A11" s="2" t="s">
        <v>31</v>
      </c>
      <c r="B11" s="16"/>
      <c r="C11" s="16"/>
      <c r="D11" s="16"/>
      <c r="E11" s="16"/>
      <c r="F11" s="16"/>
      <c r="G11" s="16"/>
      <c r="H11" s="16"/>
      <c r="I11" s="16" t="e">
        <f t="shared" ref="I11:Q11" si="1">I9/I10</f>
        <v>#VALUE!</v>
      </c>
      <c r="J11" s="16" t="e">
        <f t="shared" si="1"/>
        <v>#VALUE!</v>
      </c>
      <c r="K11" s="16" t="e">
        <f t="shared" si="1"/>
        <v>#VALUE!</v>
      </c>
      <c r="L11" s="16" t="e">
        <f t="shared" si="1"/>
        <v>#VALUE!</v>
      </c>
      <c r="M11" s="16" t="e">
        <f t="shared" si="1"/>
        <v>#VALUE!</v>
      </c>
      <c r="N11" s="16" t="e">
        <f t="shared" si="1"/>
        <v>#VALUE!</v>
      </c>
      <c r="O11" s="16" t="e">
        <f t="shared" si="1"/>
        <v>#VALUE!</v>
      </c>
      <c r="P11" s="16" t="e">
        <f t="shared" si="1"/>
        <v>#VALUE!</v>
      </c>
      <c r="Q11" s="16" t="e">
        <f t="shared" si="1"/>
        <v>#VALUE!</v>
      </c>
    </row>
    <row r="12" spans="1:17" ht="15.75" customHeight="1">
      <c r="A12" s="2" t="s">
        <v>58</v>
      </c>
      <c r="B12" s="16"/>
      <c r="C12" s="16"/>
      <c r="D12" s="16"/>
      <c r="E12" s="16"/>
      <c r="F12" s="16"/>
      <c r="G12" s="16"/>
      <c r="H12" s="16"/>
      <c r="I12" s="16" t="e">
        <f>(ScenarioParameters!$B$4*ScenarioParameters!$B$2/4)*(1/1000)</f>
        <v>#VALUE!</v>
      </c>
      <c r="J12" s="16" t="e">
        <f>(ScenarioParameters!$B$4*ScenarioParameters!$B$2/4)*(1/1000)</f>
        <v>#VALUE!</v>
      </c>
      <c r="K12" s="16" t="e">
        <f>(ScenarioParameters!$B$4*ScenarioParameters!$B$2/4)*(1/1000)</f>
        <v>#VALUE!</v>
      </c>
      <c r="L12" s="16" t="e">
        <f>(ScenarioParameters!$B$4*ScenarioParameters!$B$2/4)*(1/1000)</f>
        <v>#VALUE!</v>
      </c>
      <c r="M12" s="16" t="e">
        <f>(ScenarioParameters!$B$4*ScenarioParameters!$B$2/4)*(1/1000)</f>
        <v>#VALUE!</v>
      </c>
      <c r="N12" s="16" t="e">
        <f>(ScenarioParameters!$B$4*ScenarioParameters!$B$2/4)*(1/1000)</f>
        <v>#VALUE!</v>
      </c>
      <c r="O12" s="16" t="e">
        <f>(ScenarioParameters!$B$4*ScenarioParameters!$B$2/4)*(1/1000)</f>
        <v>#VALUE!</v>
      </c>
      <c r="P12" s="16" t="e">
        <f>(ScenarioParameters!$B$4*ScenarioParameters!$B$2/4)*(1/1000)</f>
        <v>#VALUE!</v>
      </c>
      <c r="Q12" s="16" t="e">
        <f>(ScenarioParameters!$B$4*ScenarioParameters!$B$2/4)*(1/1000)</f>
        <v>#VALUE!</v>
      </c>
    </row>
    <row r="13" spans="1:17" ht="15.75" customHeight="1">
      <c r="A13" s="2" t="s">
        <v>59</v>
      </c>
      <c r="B13" s="16"/>
      <c r="C13" s="16"/>
      <c r="D13" s="16"/>
      <c r="E13" s="16"/>
      <c r="F13" s="16"/>
      <c r="G13" s="16"/>
      <c r="H13" s="16"/>
      <c r="I13" s="16" t="e">
        <f>ScenarioParameters!$B$2/4</f>
        <v>#VALUE!</v>
      </c>
      <c r="J13" s="16" t="e">
        <f>ScenarioParameters!$B$2/4</f>
        <v>#VALUE!</v>
      </c>
      <c r="K13" s="16" t="e">
        <f>ScenarioParameters!$B$2/4</f>
        <v>#VALUE!</v>
      </c>
      <c r="L13" s="16" t="e">
        <f>ScenarioParameters!$B$2/4</f>
        <v>#VALUE!</v>
      </c>
      <c r="M13" s="16" t="e">
        <f>ScenarioParameters!$B$2/4</f>
        <v>#VALUE!</v>
      </c>
      <c r="N13" s="16" t="e">
        <f>ScenarioParameters!$B$2/4</f>
        <v>#VALUE!</v>
      </c>
      <c r="O13" s="16" t="e">
        <f>ScenarioParameters!$B$2/4</f>
        <v>#VALUE!</v>
      </c>
      <c r="P13" s="16" t="e">
        <f>ScenarioParameters!$B$2/4</f>
        <v>#VALUE!</v>
      </c>
      <c r="Q13" s="16" t="e">
        <f>ScenarioParameters!$B$2/4</f>
        <v>#VALUE!</v>
      </c>
    </row>
    <row r="14" spans="1:17" ht="15.75" customHeight="1">
      <c r="B14" s="16"/>
      <c r="C14" s="16"/>
      <c r="D14" s="16"/>
      <c r="E14" s="16"/>
      <c r="F14" s="16"/>
      <c r="G14" s="16"/>
      <c r="H14" s="16"/>
      <c r="I14" s="16" t="e">
        <f t="shared" ref="I14:Q14" si="2">I12/I13</f>
        <v>#VALUE!</v>
      </c>
      <c r="J14" s="16" t="e">
        <f t="shared" si="2"/>
        <v>#VALUE!</v>
      </c>
      <c r="K14" s="16" t="e">
        <f t="shared" si="2"/>
        <v>#VALUE!</v>
      </c>
      <c r="L14" s="16" t="e">
        <f t="shared" si="2"/>
        <v>#VALUE!</v>
      </c>
      <c r="M14" s="16" t="e">
        <f t="shared" si="2"/>
        <v>#VALUE!</v>
      </c>
      <c r="N14" s="16" t="e">
        <f t="shared" si="2"/>
        <v>#VALUE!</v>
      </c>
      <c r="O14" s="16" t="e">
        <f t="shared" si="2"/>
        <v>#VALUE!</v>
      </c>
      <c r="P14" s="16" t="e">
        <f t="shared" si="2"/>
        <v>#VALUE!</v>
      </c>
      <c r="Q14" s="16" t="e">
        <f t="shared" si="2"/>
        <v>#VALUE!</v>
      </c>
    </row>
    <row r="15" spans="1:17" ht="15.7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ht="15.75" customHeight="1">
      <c r="A16" s="2" t="s">
        <v>34</v>
      </c>
      <c r="B16" s="20">
        <f t="shared" ref="B16:Q16" si="3">SUM(B6+B7+B8+B9+B12)</f>
        <v>-15.120000000000001</v>
      </c>
      <c r="C16" s="20">
        <f t="shared" si="3"/>
        <v>-15.120000000000001</v>
      </c>
      <c r="D16" s="20">
        <f t="shared" si="3"/>
        <v>-15.120000000000001</v>
      </c>
      <c r="E16" s="20">
        <f t="shared" si="3"/>
        <v>-15.120000000000001</v>
      </c>
      <c r="F16" s="20">
        <f t="shared" si="3"/>
        <v>-15.120000000000001</v>
      </c>
      <c r="G16" s="20">
        <f t="shared" si="3"/>
        <v>-18.144000000000002</v>
      </c>
      <c r="H16" s="20">
        <f t="shared" si="3"/>
        <v>-213.024</v>
      </c>
      <c r="I16" s="20" t="e">
        <f t="shared" si="3"/>
        <v>#VALUE!</v>
      </c>
      <c r="J16" s="20" t="e">
        <f t="shared" si="3"/>
        <v>#VALUE!</v>
      </c>
      <c r="K16" s="20" t="e">
        <f t="shared" si="3"/>
        <v>#VALUE!</v>
      </c>
      <c r="L16" s="20" t="e">
        <f t="shared" si="3"/>
        <v>#VALUE!</v>
      </c>
      <c r="M16" s="20" t="e">
        <f t="shared" si="3"/>
        <v>#VALUE!</v>
      </c>
      <c r="N16" s="20" t="e">
        <f t="shared" si="3"/>
        <v>#VALUE!</v>
      </c>
      <c r="O16" s="20" t="e">
        <f t="shared" si="3"/>
        <v>#VALUE!</v>
      </c>
      <c r="P16" s="20" t="e">
        <f t="shared" si="3"/>
        <v>#VALUE!</v>
      </c>
      <c r="Q16" s="20" t="e">
        <f t="shared" si="3"/>
        <v>#VALUE!</v>
      </c>
    </row>
    <row r="17" spans="1:17" ht="15.75" customHeight="1">
      <c r="A17" s="2" t="s">
        <v>35</v>
      </c>
      <c r="B17" s="20">
        <f>B16</f>
        <v>-15.120000000000001</v>
      </c>
      <c r="C17" s="20">
        <f>C16/(1+(ScenarioParameters!$B$8/100)/4)^B3</f>
        <v>-14.85995085995086</v>
      </c>
      <c r="D17" s="20">
        <f>D16/(1+(ScenarioParameters!$B$8/100)/4)^C3</f>
        <v>-14.604374309534014</v>
      </c>
      <c r="E17" s="20">
        <f>E16/(1+(ScenarioParameters!$B$8/100)/4)^D3</f>
        <v>-14.353193424603454</v>
      </c>
      <c r="F17" s="20">
        <f>F16/(1+(ScenarioParameters!$B$8/100)/4)^E3</f>
        <v>-14.106332604032875</v>
      </c>
      <c r="G17" s="20">
        <f>G16/(1+(ScenarioParameters!$B$8/100)/4)^F3</f>
        <v>-16.636461056353269</v>
      </c>
      <c r="H17" s="20">
        <f>H16/(1+(ScenarioParameters!$B$8/100)/4)^G3</f>
        <v>-191.96498880203788</v>
      </c>
      <c r="I17" s="20" t="e">
        <f>I16/(1+(ScenarioParameters!$B$8/100)/4)^H3</f>
        <v>#VALUE!</v>
      </c>
      <c r="J17" s="20" t="e">
        <f>J16/(1+(ScenarioParameters!$B$8/100)/4)^I3</f>
        <v>#VALUE!</v>
      </c>
      <c r="K17" s="20" t="e">
        <f>K16/(1+(ScenarioParameters!$B$8/100)/4)^J3</f>
        <v>#VALUE!</v>
      </c>
      <c r="L17" s="20" t="e">
        <f>L16/(1+(ScenarioParameters!$B$8/100)/4)^K3</f>
        <v>#VALUE!</v>
      </c>
      <c r="M17" s="20" t="e">
        <f>M16/(1+(ScenarioParameters!$B$8/100)/4)^L3</f>
        <v>#VALUE!</v>
      </c>
      <c r="N17" s="20" t="e">
        <f>N16/(1+(ScenarioParameters!$B$8/100)/4)^M3</f>
        <v>#VALUE!</v>
      </c>
      <c r="O17" s="20" t="e">
        <f>O16/(1+(ScenarioParameters!$B$8/100)/4)^N3</f>
        <v>#VALUE!</v>
      </c>
      <c r="P17" s="20" t="e">
        <f>P16/(1+(ScenarioParameters!$B$8/100)/4)^O3</f>
        <v>#VALUE!</v>
      </c>
      <c r="Q17" s="20" t="e">
        <f>Q16/(1+(ScenarioParameters!$B$8/100)/4)^P3</f>
        <v>#VALUE!</v>
      </c>
    </row>
    <row r="18" spans="1:17" ht="15.75" customHeight="1"/>
    <row r="19" spans="1:17" ht="15.75" customHeight="1">
      <c r="A19" s="2" t="s">
        <v>36</v>
      </c>
      <c r="B19" s="20" t="e">
        <f>SUM(B17:Q17)</f>
        <v>#VALUE!</v>
      </c>
    </row>
    <row r="20" spans="1:17" ht="15.75" customHeight="1"/>
    <row r="21" spans="1:17" ht="15.75" customHeight="1"/>
    <row r="22" spans="1:17" ht="15.75" customHeight="1"/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00"/>
  <sheetViews>
    <sheetView workbookViewId="0"/>
  </sheetViews>
  <sheetFormatPr defaultColWidth="11.25" defaultRowHeight="15" customHeight="1"/>
  <cols>
    <col min="1" max="1" width="21.33203125" customWidth="1"/>
    <col min="2" max="26" width="10.58203125" customWidth="1"/>
  </cols>
  <sheetData>
    <row r="1" spans="1:17" ht="15.75" customHeight="1">
      <c r="A1" s="2" t="s">
        <v>51</v>
      </c>
    </row>
    <row r="2" spans="1:17" ht="15.75" customHeight="1">
      <c r="B2" s="2" t="s">
        <v>52</v>
      </c>
      <c r="F2" s="2" t="s">
        <v>53</v>
      </c>
      <c r="J2" s="2" t="s">
        <v>54</v>
      </c>
      <c r="N2" s="2" t="s">
        <v>55</v>
      </c>
    </row>
    <row r="3" spans="1:17" ht="15.75" customHeight="1">
      <c r="A3" s="2" t="s">
        <v>10</v>
      </c>
      <c r="B3" s="2">
        <v>1</v>
      </c>
      <c r="C3" s="2">
        <f t="shared" ref="C3:Q3" si="0">B3+1</f>
        <v>2</v>
      </c>
      <c r="D3" s="2">
        <f t="shared" si="0"/>
        <v>3</v>
      </c>
      <c r="E3" s="2">
        <f t="shared" si="0"/>
        <v>4</v>
      </c>
      <c r="F3" s="2">
        <f t="shared" si="0"/>
        <v>5</v>
      </c>
      <c r="G3" s="2">
        <f t="shared" si="0"/>
        <v>6</v>
      </c>
      <c r="H3" s="2">
        <f t="shared" si="0"/>
        <v>7</v>
      </c>
      <c r="I3" s="2">
        <f t="shared" si="0"/>
        <v>8</v>
      </c>
      <c r="J3" s="2">
        <f t="shared" si="0"/>
        <v>9</v>
      </c>
      <c r="K3" s="2">
        <f t="shared" si="0"/>
        <v>10</v>
      </c>
      <c r="L3" s="2">
        <f t="shared" si="0"/>
        <v>11</v>
      </c>
      <c r="M3" s="2">
        <f t="shared" si="0"/>
        <v>12</v>
      </c>
      <c r="N3" s="2">
        <f t="shared" si="0"/>
        <v>13</v>
      </c>
      <c r="O3" s="2">
        <f t="shared" si="0"/>
        <v>14</v>
      </c>
      <c r="P3" s="2">
        <f t="shared" si="0"/>
        <v>15</v>
      </c>
      <c r="Q3" s="2">
        <f t="shared" si="0"/>
        <v>16</v>
      </c>
    </row>
    <row r="4" spans="1:17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24</v>
      </c>
      <c r="F4" s="2" t="s">
        <v>20</v>
      </c>
      <c r="G4" s="2" t="s">
        <v>21</v>
      </c>
      <c r="H4" s="2" t="s">
        <v>22</v>
      </c>
      <c r="I4" s="2" t="s">
        <v>24</v>
      </c>
      <c r="J4" s="2" t="s">
        <v>20</v>
      </c>
      <c r="K4" s="2" t="s">
        <v>21</v>
      </c>
      <c r="L4" s="2" t="s">
        <v>22</v>
      </c>
      <c r="M4" s="2" t="s">
        <v>24</v>
      </c>
      <c r="N4" s="2" t="s">
        <v>20</v>
      </c>
      <c r="O4" s="2" t="s">
        <v>21</v>
      </c>
      <c r="P4" s="2" t="s">
        <v>22</v>
      </c>
      <c r="Q4" s="2" t="s">
        <v>24</v>
      </c>
    </row>
    <row r="5" spans="1:17" ht="15.75" customHeight="1"/>
    <row r="6" spans="1:17" ht="15.75" customHeight="1">
      <c r="A6" s="2" t="s">
        <v>25</v>
      </c>
      <c r="B6" s="16">
        <f>(-1)*ScenarioParameters!$B$3/4*(1/1000)</f>
        <v>-15.120000000000001</v>
      </c>
      <c r="C6" s="16">
        <f>(-1)*ScenarioParameters!$B$3/4*(1/1000)</f>
        <v>-15.120000000000001</v>
      </c>
      <c r="D6" s="16">
        <f>(-1)*ScenarioParameters!$B$3/4*(1/1000)</f>
        <v>-15.120000000000001</v>
      </c>
      <c r="E6" s="16">
        <f>(-1)*ScenarioParameters!$B$3/4*(1/1000)</f>
        <v>-15.120000000000001</v>
      </c>
      <c r="F6" s="16">
        <f>(-1)*ScenarioParameters!$B$3/4*(1/1000)</f>
        <v>-15.120000000000001</v>
      </c>
      <c r="G6" s="16">
        <f>(-1)*ScenarioParameters!$B$3/4*(1/1000)</f>
        <v>-15.120000000000001</v>
      </c>
      <c r="H6" s="16">
        <f>(-1)*ScenarioParameters!$B$3/4*(1/1000)</f>
        <v>-15.120000000000001</v>
      </c>
      <c r="I6" s="16"/>
      <c r="J6" s="16"/>
      <c r="K6" s="16"/>
      <c r="L6" s="16"/>
      <c r="M6" s="16"/>
      <c r="N6" s="16"/>
      <c r="O6" s="16"/>
      <c r="P6" s="16"/>
      <c r="Q6" s="16"/>
    </row>
    <row r="7" spans="1:17" ht="15.75" customHeight="1">
      <c r="A7" s="2" t="s">
        <v>26</v>
      </c>
      <c r="B7" s="16"/>
      <c r="C7" s="16"/>
      <c r="D7" s="16"/>
      <c r="E7" s="16"/>
      <c r="F7" s="16"/>
      <c r="G7" s="16"/>
      <c r="H7" s="16">
        <f>(-1)*ScenarioParameters!$B$6/2*(1/1000)</f>
        <v>-3.024</v>
      </c>
      <c r="I7" s="16">
        <f>(-1)*ScenarioParameters!$B$6/2*(1/1000)</f>
        <v>-3.024</v>
      </c>
      <c r="J7" s="16"/>
      <c r="K7" s="16"/>
      <c r="L7" s="16"/>
      <c r="M7" s="16"/>
      <c r="N7" s="16"/>
      <c r="O7" s="16"/>
      <c r="P7" s="16"/>
      <c r="Q7" s="16"/>
    </row>
    <row r="8" spans="1:17" ht="15.75" customHeight="1">
      <c r="A8" s="2" t="s">
        <v>27</v>
      </c>
      <c r="B8" s="16"/>
      <c r="C8" s="16"/>
      <c r="D8" s="16"/>
      <c r="E8" s="16"/>
      <c r="F8" s="16"/>
      <c r="G8" s="16"/>
      <c r="H8" s="16"/>
      <c r="I8" s="16">
        <f>(-1)*ScenarioParameters!$B$7/4*(1/1000)</f>
        <v>-210</v>
      </c>
      <c r="J8" s="16">
        <f>(-1)*ScenarioParameters!$B$7/4*(1/1000)</f>
        <v>-210</v>
      </c>
      <c r="K8" s="16">
        <f>(-1)*ScenarioParameters!$B$7/4*(1/1000)</f>
        <v>-210</v>
      </c>
      <c r="L8" s="16">
        <f>(-1)*ScenarioParameters!$B$7/4*(1/1000)</f>
        <v>-210</v>
      </c>
      <c r="M8" s="16">
        <f>(-1)*ScenarioParameters!$B$7/4*(1/1000)</f>
        <v>-210</v>
      </c>
      <c r="N8" s="16">
        <f>(-1)*ScenarioParameters!$B$7/4*(1/1000)</f>
        <v>-210</v>
      </c>
      <c r="O8" s="16">
        <f>(-1)*ScenarioParameters!$B$7/4*(1/1000)</f>
        <v>-210</v>
      </c>
      <c r="P8" s="16">
        <f>(-1)*ScenarioParameters!$B$7/4*(1/1000)</f>
        <v>-210</v>
      </c>
      <c r="Q8" s="16">
        <f>(-1)*ScenarioParameters!$B$7/4*(1/1000)</f>
        <v>-210</v>
      </c>
    </row>
    <row r="9" spans="1:17" ht="15.75" customHeight="1">
      <c r="A9" s="2" t="s">
        <v>56</v>
      </c>
      <c r="B9" s="16"/>
      <c r="C9" s="16"/>
      <c r="D9" s="16"/>
      <c r="E9" s="16"/>
      <c r="F9" s="16"/>
      <c r="G9" s="16"/>
      <c r="H9" s="16"/>
      <c r="I9" s="16"/>
      <c r="J9" s="16" t="e">
        <f>(-1)*(ScenarioParameters!$B$5)*(ScenarioParameters!$B$2/4)*(1/1000)</f>
        <v>#VALUE!</v>
      </c>
      <c r="K9" s="16" t="e">
        <f>(-1)*(ScenarioParameters!$B$5)*(ScenarioParameters!$B$2/4)*(1/1000)</f>
        <v>#VALUE!</v>
      </c>
      <c r="L9" s="16" t="e">
        <f>(-1)*(ScenarioParameters!$B$5)*(ScenarioParameters!$B$2/4)*(1/1000)</f>
        <v>#VALUE!</v>
      </c>
      <c r="M9" s="16" t="e">
        <f>(-1)*(ScenarioParameters!$B$5)*(ScenarioParameters!$B$2/4)*(1/1000)</f>
        <v>#VALUE!</v>
      </c>
      <c r="N9" s="16" t="e">
        <f>(-1)*(ScenarioParameters!$B$5)*(ScenarioParameters!$B$2/4)*(1/1000)</f>
        <v>#VALUE!</v>
      </c>
      <c r="O9" s="16" t="e">
        <f>(-1)*(ScenarioParameters!$B$5)*(ScenarioParameters!$B$2/4)*(1/1000)</f>
        <v>#VALUE!</v>
      </c>
      <c r="P9" s="16" t="e">
        <f>(-1)*(ScenarioParameters!$B$5)*(ScenarioParameters!$B$2/4)*(1/1000)</f>
        <v>#VALUE!</v>
      </c>
      <c r="Q9" s="16" t="e">
        <f>(-1)*(ScenarioParameters!$B$5)*(ScenarioParameters!$B$2/4)*(1/1000)</f>
        <v>#VALUE!</v>
      </c>
    </row>
    <row r="10" spans="1:17" ht="15.75" customHeight="1">
      <c r="A10" s="2" t="s">
        <v>57</v>
      </c>
      <c r="B10" s="16"/>
      <c r="C10" s="16"/>
      <c r="D10" s="16"/>
      <c r="E10" s="16"/>
      <c r="F10" s="16"/>
      <c r="G10" s="16"/>
      <c r="H10" s="16"/>
      <c r="I10" s="16"/>
      <c r="J10" s="16" t="e">
        <f>ScenarioParameters!$B$2/4</f>
        <v>#VALUE!</v>
      </c>
      <c r="K10" s="16" t="e">
        <f>ScenarioParameters!$B$2/4</f>
        <v>#VALUE!</v>
      </c>
      <c r="L10" s="16" t="e">
        <f>ScenarioParameters!$B$2/4</f>
        <v>#VALUE!</v>
      </c>
      <c r="M10" s="16" t="e">
        <f>ScenarioParameters!$B$2/4</f>
        <v>#VALUE!</v>
      </c>
      <c r="N10" s="16" t="e">
        <f>ScenarioParameters!$B$2/4</f>
        <v>#VALUE!</v>
      </c>
      <c r="O10" s="16" t="e">
        <f>ScenarioParameters!$B$2/4</f>
        <v>#VALUE!</v>
      </c>
      <c r="P10" s="16" t="e">
        <f>ScenarioParameters!$B$2/4</f>
        <v>#VALUE!</v>
      </c>
      <c r="Q10" s="16" t="e">
        <f>ScenarioParameters!$B$2/4</f>
        <v>#VALUE!</v>
      </c>
    </row>
    <row r="11" spans="1:17" ht="15.75" customHeight="1">
      <c r="A11" s="2" t="s">
        <v>31</v>
      </c>
      <c r="B11" s="16"/>
      <c r="C11" s="16"/>
      <c r="D11" s="16"/>
      <c r="E11" s="16"/>
      <c r="F11" s="16"/>
      <c r="G11" s="16"/>
      <c r="H11" s="16"/>
      <c r="I11" s="16"/>
      <c r="J11" s="16" t="e">
        <f t="shared" ref="J11:Q11" si="1">J9/J10</f>
        <v>#VALUE!</v>
      </c>
      <c r="K11" s="16" t="e">
        <f t="shared" si="1"/>
        <v>#VALUE!</v>
      </c>
      <c r="L11" s="16" t="e">
        <f t="shared" si="1"/>
        <v>#VALUE!</v>
      </c>
      <c r="M11" s="16" t="e">
        <f t="shared" si="1"/>
        <v>#VALUE!</v>
      </c>
      <c r="N11" s="16" t="e">
        <f t="shared" si="1"/>
        <v>#VALUE!</v>
      </c>
      <c r="O11" s="16" t="e">
        <f t="shared" si="1"/>
        <v>#VALUE!</v>
      </c>
      <c r="P11" s="16" t="e">
        <f t="shared" si="1"/>
        <v>#VALUE!</v>
      </c>
      <c r="Q11" s="16" t="e">
        <f t="shared" si="1"/>
        <v>#VALUE!</v>
      </c>
    </row>
    <row r="12" spans="1:17" ht="15.75" customHeight="1">
      <c r="A12" s="2" t="s">
        <v>58</v>
      </c>
      <c r="B12" s="16"/>
      <c r="C12" s="16"/>
      <c r="D12" s="16"/>
      <c r="E12" s="16"/>
      <c r="F12" s="16"/>
      <c r="G12" s="16"/>
      <c r="H12" s="16"/>
      <c r="I12" s="16"/>
      <c r="J12" s="16" t="e">
        <f>(ScenarioParameters!$B$4*ScenarioParameters!$B$2/4)*(1/1000)</f>
        <v>#VALUE!</v>
      </c>
      <c r="K12" s="16" t="e">
        <f>(ScenarioParameters!$B$4*ScenarioParameters!$B$2/4)*(1/1000)</f>
        <v>#VALUE!</v>
      </c>
      <c r="L12" s="16" t="e">
        <f>(ScenarioParameters!$B$4*ScenarioParameters!$B$2/4)*(1/1000)</f>
        <v>#VALUE!</v>
      </c>
      <c r="M12" s="16" t="e">
        <f>(ScenarioParameters!$B$4*ScenarioParameters!$B$2/4)*(1/1000)</f>
        <v>#VALUE!</v>
      </c>
      <c r="N12" s="16" t="e">
        <f>(ScenarioParameters!$B$4*ScenarioParameters!$B$2/4)*(1/1000)</f>
        <v>#VALUE!</v>
      </c>
      <c r="O12" s="16" t="e">
        <f>(ScenarioParameters!$B$4*ScenarioParameters!$B$2/4)*(1/1000)</f>
        <v>#VALUE!</v>
      </c>
      <c r="P12" s="16" t="e">
        <f>(ScenarioParameters!$B$4*ScenarioParameters!$B$2/4)*(1/1000)</f>
        <v>#VALUE!</v>
      </c>
      <c r="Q12" s="16" t="e">
        <f>(ScenarioParameters!$B$4*ScenarioParameters!$B$2/4)*(1/1000)</f>
        <v>#VALUE!</v>
      </c>
    </row>
    <row r="13" spans="1:17" ht="15.75" customHeight="1">
      <c r="A13" s="2" t="s">
        <v>59</v>
      </c>
      <c r="B13" s="16"/>
      <c r="C13" s="16"/>
      <c r="D13" s="16"/>
      <c r="E13" s="16"/>
      <c r="F13" s="16"/>
      <c r="G13" s="16"/>
      <c r="H13" s="16"/>
      <c r="I13" s="16"/>
      <c r="J13" s="16" t="e">
        <f>ScenarioParameters!$B$2/4</f>
        <v>#VALUE!</v>
      </c>
      <c r="K13" s="16" t="e">
        <f>ScenarioParameters!$B$2/4</f>
        <v>#VALUE!</v>
      </c>
      <c r="L13" s="16" t="e">
        <f>ScenarioParameters!$B$2/4</f>
        <v>#VALUE!</v>
      </c>
      <c r="M13" s="16" t="e">
        <f>ScenarioParameters!$B$2/4</f>
        <v>#VALUE!</v>
      </c>
      <c r="N13" s="16" t="e">
        <f>ScenarioParameters!$B$2/4</f>
        <v>#VALUE!</v>
      </c>
      <c r="O13" s="16" t="e">
        <f>ScenarioParameters!$B$2/4</f>
        <v>#VALUE!</v>
      </c>
      <c r="P13" s="16" t="e">
        <f>ScenarioParameters!$B$2/4</f>
        <v>#VALUE!</v>
      </c>
      <c r="Q13" s="16" t="e">
        <f>ScenarioParameters!$B$2/4</f>
        <v>#VALUE!</v>
      </c>
    </row>
    <row r="14" spans="1:17" ht="15.75" customHeight="1">
      <c r="B14" s="16"/>
      <c r="C14" s="16"/>
      <c r="D14" s="16"/>
      <c r="E14" s="16"/>
      <c r="F14" s="16"/>
      <c r="G14" s="16"/>
      <c r="H14" s="16"/>
      <c r="I14" s="16"/>
      <c r="J14" s="16" t="e">
        <f t="shared" ref="J14:Q14" si="2">J12/J13</f>
        <v>#VALUE!</v>
      </c>
      <c r="K14" s="16" t="e">
        <f t="shared" si="2"/>
        <v>#VALUE!</v>
      </c>
      <c r="L14" s="16" t="e">
        <f t="shared" si="2"/>
        <v>#VALUE!</v>
      </c>
      <c r="M14" s="16" t="e">
        <f t="shared" si="2"/>
        <v>#VALUE!</v>
      </c>
      <c r="N14" s="16" t="e">
        <f t="shared" si="2"/>
        <v>#VALUE!</v>
      </c>
      <c r="O14" s="16" t="e">
        <f t="shared" si="2"/>
        <v>#VALUE!</v>
      </c>
      <c r="P14" s="16" t="e">
        <f t="shared" si="2"/>
        <v>#VALUE!</v>
      </c>
      <c r="Q14" s="16" t="e">
        <f t="shared" si="2"/>
        <v>#VALUE!</v>
      </c>
    </row>
    <row r="15" spans="1:17" ht="15.7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ht="15.75" customHeight="1">
      <c r="A16" s="2" t="s">
        <v>34</v>
      </c>
      <c r="B16" s="20">
        <f t="shared" ref="B16:Q16" si="3">SUM(B6+B7+B8+B9+B12)</f>
        <v>-15.120000000000001</v>
      </c>
      <c r="C16" s="20">
        <f t="shared" si="3"/>
        <v>-15.120000000000001</v>
      </c>
      <c r="D16" s="20">
        <f t="shared" si="3"/>
        <v>-15.120000000000001</v>
      </c>
      <c r="E16" s="20">
        <f t="shared" si="3"/>
        <v>-15.120000000000001</v>
      </c>
      <c r="F16" s="20">
        <f t="shared" si="3"/>
        <v>-15.120000000000001</v>
      </c>
      <c r="G16" s="20">
        <f t="shared" si="3"/>
        <v>-15.120000000000001</v>
      </c>
      <c r="H16" s="20">
        <f t="shared" si="3"/>
        <v>-18.144000000000002</v>
      </c>
      <c r="I16" s="20">
        <f t="shared" si="3"/>
        <v>-213.024</v>
      </c>
      <c r="J16" s="20" t="e">
        <f t="shared" si="3"/>
        <v>#VALUE!</v>
      </c>
      <c r="K16" s="20" t="e">
        <f t="shared" si="3"/>
        <v>#VALUE!</v>
      </c>
      <c r="L16" s="20" t="e">
        <f t="shared" si="3"/>
        <v>#VALUE!</v>
      </c>
      <c r="M16" s="20" t="e">
        <f t="shared" si="3"/>
        <v>#VALUE!</v>
      </c>
      <c r="N16" s="20" t="e">
        <f t="shared" si="3"/>
        <v>#VALUE!</v>
      </c>
      <c r="O16" s="20" t="e">
        <f t="shared" si="3"/>
        <v>#VALUE!</v>
      </c>
      <c r="P16" s="20" t="e">
        <f t="shared" si="3"/>
        <v>#VALUE!</v>
      </c>
      <c r="Q16" s="20" t="e">
        <f t="shared" si="3"/>
        <v>#VALUE!</v>
      </c>
    </row>
    <row r="17" spans="1:17" ht="15.75" customHeight="1">
      <c r="A17" s="2" t="s">
        <v>35</v>
      </c>
      <c r="B17" s="20">
        <f>B16</f>
        <v>-15.120000000000001</v>
      </c>
      <c r="C17" s="20">
        <f>C16/(1+(ScenarioParameters!$B$8/100)/4)^B3</f>
        <v>-14.85995085995086</v>
      </c>
      <c r="D17" s="20">
        <f>D16/(1+(ScenarioParameters!$B$8/100)/4)^C3</f>
        <v>-14.604374309534014</v>
      </c>
      <c r="E17" s="20">
        <f>E16/(1+(ScenarioParameters!$B$8/100)/4)^D3</f>
        <v>-14.353193424603454</v>
      </c>
      <c r="F17" s="20">
        <f>F16/(1+(ScenarioParameters!$B$8/100)/4)^E3</f>
        <v>-14.106332604032875</v>
      </c>
      <c r="G17" s="20">
        <f>G16/(1+(ScenarioParameters!$B$8/100)/4)^F3</f>
        <v>-13.863717546961057</v>
      </c>
      <c r="H17" s="20">
        <f>H16/(1+(ScenarioParameters!$B$8/100)/4)^G3</f>
        <v>-16.350330276514267</v>
      </c>
      <c r="I17" s="20">
        <f>I16/(1+(ScenarioParameters!$B$8/100)/4)^H3</f>
        <v>-188.66337965802251</v>
      </c>
      <c r="J17" s="20" t="e">
        <f>J16/(1+(ScenarioParameters!$B$8/100)/4)^I3</f>
        <v>#VALUE!</v>
      </c>
      <c r="K17" s="20" t="e">
        <f>K16/(1+(ScenarioParameters!$B$8/100)/4)^J3</f>
        <v>#VALUE!</v>
      </c>
      <c r="L17" s="20" t="e">
        <f>L16/(1+(ScenarioParameters!$B$8/100)/4)^K3</f>
        <v>#VALUE!</v>
      </c>
      <c r="M17" s="20" t="e">
        <f>M16/(1+(ScenarioParameters!$B$8/100)/4)^L3</f>
        <v>#VALUE!</v>
      </c>
      <c r="N17" s="20" t="e">
        <f>N16/(1+(ScenarioParameters!$B$8/100)/4)^M3</f>
        <v>#VALUE!</v>
      </c>
      <c r="O17" s="20" t="e">
        <f>O16/(1+(ScenarioParameters!$B$8/100)/4)^N3</f>
        <v>#VALUE!</v>
      </c>
      <c r="P17" s="20" t="e">
        <f>P16/(1+(ScenarioParameters!$B$8/100)/4)^O3</f>
        <v>#VALUE!</v>
      </c>
      <c r="Q17" s="20" t="e">
        <f>Q16/(1+(ScenarioParameters!$B$8/100)/4)^P3</f>
        <v>#VALUE!</v>
      </c>
    </row>
    <row r="18" spans="1:17" ht="15.75" customHeight="1"/>
    <row r="19" spans="1:17" ht="15.75" customHeight="1">
      <c r="A19" s="2" t="s">
        <v>36</v>
      </c>
      <c r="B19" s="20" t="e">
        <f>SUM(B17:Q17)</f>
        <v>#VALUE!</v>
      </c>
    </row>
    <row r="20" spans="1:17" ht="15.75" customHeight="1"/>
    <row r="21" spans="1:17" ht="15.75" customHeight="1"/>
    <row r="22" spans="1:17" ht="15.75" customHeight="1"/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00"/>
  <sheetViews>
    <sheetView workbookViewId="0"/>
  </sheetViews>
  <sheetFormatPr defaultColWidth="11.25" defaultRowHeight="15" customHeight="1"/>
  <cols>
    <col min="1" max="1" width="23.4140625" customWidth="1"/>
    <col min="2" max="2" width="20" customWidth="1"/>
    <col min="3" max="3" width="29.4140625" customWidth="1"/>
    <col min="4" max="4" width="20.75" customWidth="1"/>
    <col min="5" max="26" width="10.58203125" customWidth="1"/>
  </cols>
  <sheetData>
    <row r="1" spans="1:8" ht="49.5" customHeight="1">
      <c r="A1" s="23" t="s">
        <v>47</v>
      </c>
      <c r="B1" s="23" t="s">
        <v>60</v>
      </c>
      <c r="C1" s="23" t="s">
        <v>61</v>
      </c>
      <c r="D1" s="23" t="s">
        <v>62</v>
      </c>
      <c r="E1" s="23" t="s">
        <v>45</v>
      </c>
      <c r="F1" s="23" t="s">
        <v>44</v>
      </c>
      <c r="G1" s="23" t="s">
        <v>46</v>
      </c>
      <c r="H1" s="24"/>
    </row>
    <row r="2" spans="1:8" ht="15.75" customHeight="1">
      <c r="A2" s="25">
        <f>ScenarioParameters!$B$3/1000</f>
        <v>60.48</v>
      </c>
      <c r="B2" s="28">
        <v>3</v>
      </c>
      <c r="C2" s="25">
        <f>SUM('+3 DevTime'!$B$6:$Q$6)*-1</f>
        <v>105.84000000000002</v>
      </c>
      <c r="D2" s="25">
        <f t="shared" ref="D2:D7" si="0">C2-A2</f>
        <v>45.360000000000021</v>
      </c>
      <c r="E2" s="25" t="e">
        <f>'+3 DevTime'!$B$19</f>
        <v>#VALUE!</v>
      </c>
      <c r="F2" s="27" t="e">
        <f t="shared" ref="F2:F7" ca="1" si="1">(E2-$E$5)/$E$5</f>
        <v>#VALUE!</v>
      </c>
      <c r="G2" s="25" t="e">
        <f t="shared" ref="G2:G7" ca="1" si="2">E2-$E$5</f>
        <v>#VALUE!</v>
      </c>
    </row>
    <row r="3" spans="1:8" ht="15.75" customHeight="1">
      <c r="A3" s="25">
        <f>ScenarioParameters!$B$3/1000</f>
        <v>60.48</v>
      </c>
      <c r="B3" s="28">
        <v>2</v>
      </c>
      <c r="C3" s="25">
        <f>SUM('+2 DevTime'!$B$6:$Q$6)*-1</f>
        <v>90.720000000000013</v>
      </c>
      <c r="D3" s="25">
        <f t="shared" si="0"/>
        <v>30.240000000000016</v>
      </c>
      <c r="E3" s="25" t="e">
        <f>'+2 DevTime'!$B$19</f>
        <v>#VALUE!</v>
      </c>
      <c r="F3" s="27" t="e">
        <f t="shared" ca="1" si="1"/>
        <v>#VALUE!</v>
      </c>
      <c r="G3" s="25" t="e">
        <f t="shared" ca="1" si="2"/>
        <v>#VALUE!</v>
      </c>
    </row>
    <row r="4" spans="1:8" ht="15.75" customHeight="1">
      <c r="A4" s="25">
        <f>ScenarioParameters!$B$3/1000</f>
        <v>60.48</v>
      </c>
      <c r="B4" s="28">
        <v>1</v>
      </c>
      <c r="C4" s="25">
        <f>SUM('+1 DevTime'!$B$6:$Q$6)*-1</f>
        <v>75.600000000000009</v>
      </c>
      <c r="D4" s="25">
        <f t="shared" si="0"/>
        <v>15.120000000000012</v>
      </c>
      <c r="E4" s="25" t="e">
        <f>'+1 DevTime'!$B$19</f>
        <v>#VALUE!</v>
      </c>
      <c r="F4" s="27" t="e">
        <f t="shared" ca="1" si="1"/>
        <v>#VALUE!</v>
      </c>
      <c r="G4" s="25" t="e">
        <f t="shared" ca="1" si="2"/>
        <v>#VALUE!</v>
      </c>
    </row>
    <row r="5" spans="1:8" ht="15.75" customHeight="1">
      <c r="A5" s="29">
        <v>25000</v>
      </c>
      <c r="B5" s="28">
        <v>0</v>
      </c>
      <c r="C5" s="25">
        <f>-25000*-1</f>
        <v>25000</v>
      </c>
      <c r="D5" s="25">
        <f t="shared" si="0"/>
        <v>0</v>
      </c>
      <c r="E5" s="25">
        <f ca="1">BaseCase!B19</f>
        <v>25465.989864874267</v>
      </c>
      <c r="F5" s="27">
        <f t="shared" ca="1" si="1"/>
        <v>0</v>
      </c>
      <c r="G5" s="25">
        <f t="shared" ca="1" si="2"/>
        <v>0</v>
      </c>
    </row>
    <row r="6" spans="1:8" ht="15.75" customHeight="1">
      <c r="A6" s="29">
        <v>25000</v>
      </c>
      <c r="B6" s="28">
        <v>-1</v>
      </c>
      <c r="C6" s="25">
        <f>SUM('-1 DevTime'!$B$6:$Q$6)*-1</f>
        <v>45.36</v>
      </c>
      <c r="D6" s="25">
        <f t="shared" si="0"/>
        <v>-24954.639999999999</v>
      </c>
      <c r="E6" s="25" t="e">
        <f>'-1 DevTime'!$B$19</f>
        <v>#VALUE!</v>
      </c>
      <c r="F6" s="27" t="e">
        <f t="shared" ca="1" si="1"/>
        <v>#VALUE!</v>
      </c>
      <c r="G6" s="25" t="e">
        <f t="shared" ca="1" si="2"/>
        <v>#VALUE!</v>
      </c>
    </row>
    <row r="7" spans="1:8" ht="15.75" customHeight="1">
      <c r="A7" s="29">
        <v>25000</v>
      </c>
      <c r="B7" s="28">
        <v>-2</v>
      </c>
      <c r="C7" s="25">
        <f>SUM('-2 DevTime'!$B$6:$Q$6)*-1</f>
        <v>30.240000000000002</v>
      </c>
      <c r="D7" s="25">
        <f t="shared" si="0"/>
        <v>-24969.759999999998</v>
      </c>
      <c r="E7" s="25" t="e">
        <f>'-2 DevTime'!$B$19</f>
        <v>#VALUE!</v>
      </c>
      <c r="F7" s="27" t="e">
        <f t="shared" ca="1" si="1"/>
        <v>#VALUE!</v>
      </c>
      <c r="G7" s="25" t="e">
        <f t="shared" ca="1" si="2"/>
        <v>#VALUE!</v>
      </c>
    </row>
    <row r="8" spans="1:8" ht="15.75" customHeight="1">
      <c r="A8" s="29"/>
      <c r="B8" s="28"/>
      <c r="C8" s="25"/>
      <c r="D8" s="25"/>
      <c r="E8" s="25"/>
      <c r="F8" s="27"/>
      <c r="G8" s="25"/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00"/>
  <sheetViews>
    <sheetView workbookViewId="0"/>
  </sheetViews>
  <sheetFormatPr defaultColWidth="11.25" defaultRowHeight="15" customHeight="1"/>
  <cols>
    <col min="1" max="1" width="23.4140625" customWidth="1"/>
    <col min="2" max="2" width="20" customWidth="1"/>
    <col min="3" max="3" width="14.6640625" customWidth="1"/>
    <col min="4" max="4" width="16.08203125" customWidth="1"/>
    <col min="5" max="5" width="14.25" customWidth="1"/>
    <col min="6" max="6" width="20.75" customWidth="1"/>
    <col min="7" max="8" width="10.58203125" customWidth="1"/>
    <col min="9" max="9" width="14.9140625" customWidth="1"/>
    <col min="10" max="28" width="10.58203125" customWidth="1"/>
  </cols>
  <sheetData>
    <row r="1" spans="1:10" ht="49.5" customHeight="1">
      <c r="A1" s="22" t="s">
        <v>63</v>
      </c>
      <c r="B1" s="23" t="s">
        <v>64</v>
      </c>
      <c r="C1" s="22" t="s">
        <v>65</v>
      </c>
      <c r="D1" s="22" t="s">
        <v>66</v>
      </c>
      <c r="E1" s="22" t="s">
        <v>67</v>
      </c>
      <c r="F1" s="22" t="s">
        <v>68</v>
      </c>
      <c r="G1" s="23" t="s">
        <v>45</v>
      </c>
      <c r="H1" s="23" t="s">
        <v>44</v>
      </c>
      <c r="I1" s="23" t="s">
        <v>46</v>
      </c>
      <c r="J1" s="24"/>
    </row>
    <row r="2" spans="1:10" ht="15.75" customHeight="1">
      <c r="A2" s="25">
        <f>ScenarioParameters!B5</f>
        <v>115.28</v>
      </c>
      <c r="B2" s="26">
        <v>0.3</v>
      </c>
      <c r="C2" s="25">
        <f t="shared" ref="C2:C8" si="0">A2+A2*B2</f>
        <v>149.864</v>
      </c>
      <c r="D2" s="25">
        <f ca="1">SUM('+30 UnitCost'!F10:AB10)</f>
        <v>192433.35786599724</v>
      </c>
      <c r="E2" s="25">
        <f ca="1">SUM('+30 UnitCost'!F9:AB9)</f>
        <v>-29846.623636237331</v>
      </c>
      <c r="F2" s="25">
        <f t="shared" ref="F2:F8" ca="1" si="1">E2+ABS($E$5)</f>
        <v>-7662.9061414451717</v>
      </c>
      <c r="G2" s="25">
        <f ca="1">'+30 UnitCost'!$B$19</f>
        <v>19402.792130519996</v>
      </c>
      <c r="H2" s="27">
        <f t="shared" ref="H2:H8" ca="1" si="2">(G2-$G$5)/$G$5</f>
        <v>-0.23809000814523049</v>
      </c>
      <c r="I2" s="25">
        <f t="shared" ref="I2:I8" ca="1" si="3">G2-$G$5</f>
        <v>-6063.1977343542712</v>
      </c>
    </row>
    <row r="3" spans="1:10" ht="15.75" customHeight="1">
      <c r="A3" s="25">
        <f t="shared" ref="A3:A8" si="4">A2</f>
        <v>115.28</v>
      </c>
      <c r="B3" s="26">
        <v>0.2</v>
      </c>
      <c r="C3" s="25">
        <f t="shared" si="0"/>
        <v>138.33600000000001</v>
      </c>
      <c r="D3" s="25">
        <f ca="1">SUM('+20 UnitCost'!F10:AB10)</f>
        <v>192433.35786599724</v>
      </c>
      <c r="E3" s="25">
        <f ca="1">SUM('+20 UnitCost'!F9:AB9)</f>
        <v>-27550.729510372923</v>
      </c>
      <c r="F3" s="25">
        <f t="shared" ca="1" si="1"/>
        <v>-5367.0120155807635</v>
      </c>
      <c r="G3" s="25">
        <f ca="1">'+20 UnitCost'!$B$19</f>
        <v>21234.760318556269</v>
      </c>
      <c r="H3" s="27">
        <f t="shared" ca="1" si="2"/>
        <v>-0.1661521727122893</v>
      </c>
      <c r="I3" s="25">
        <f t="shared" ca="1" si="3"/>
        <v>-4231.229546317998</v>
      </c>
    </row>
    <row r="4" spans="1:10" ht="15.75" customHeight="1">
      <c r="A4" s="25">
        <f t="shared" si="4"/>
        <v>115.28</v>
      </c>
      <c r="B4" s="26">
        <v>0.1</v>
      </c>
      <c r="C4" s="25">
        <f t="shared" si="0"/>
        <v>126.80800000000001</v>
      </c>
      <c r="D4" s="25">
        <f ca="1">SUM('+10 UnitCost'!F10:AB10)</f>
        <v>192433.35786599724</v>
      </c>
      <c r="E4" s="25">
        <f ca="1">SUM('+10 UnitCost'!F9:AB9)</f>
        <v>-25254.835384508508</v>
      </c>
      <c r="F4" s="25">
        <f t="shared" ca="1" si="1"/>
        <v>-3071.1178897163481</v>
      </c>
      <c r="G4" s="25">
        <f ca="1">'+10 UnitCost'!$B$19</f>
        <v>23066.72850659255</v>
      </c>
      <c r="H4" s="27">
        <f t="shared" ca="1" si="2"/>
        <v>-9.4214337279347818E-2</v>
      </c>
      <c r="I4" s="25">
        <f t="shared" ca="1" si="3"/>
        <v>-2399.2613582817175</v>
      </c>
    </row>
    <row r="5" spans="1:10" ht="15.75" customHeight="1">
      <c r="A5" s="25">
        <f t="shared" si="4"/>
        <v>115.28</v>
      </c>
      <c r="B5" s="26">
        <v>0</v>
      </c>
      <c r="C5" s="25">
        <f t="shared" si="0"/>
        <v>115.28</v>
      </c>
      <c r="D5" s="25">
        <f ca="1">SUM(BaseCase!F10:AB10)</f>
        <v>192433.35786599724</v>
      </c>
      <c r="E5" s="25">
        <f ca="1">SUM(BaseCase!F9:AB9)</f>
        <v>-22183.717494792159</v>
      </c>
      <c r="F5" s="25">
        <f t="shared" ca="1" si="1"/>
        <v>0</v>
      </c>
      <c r="G5" s="25">
        <f ca="1">BaseCase!B19</f>
        <v>25465.989864874267</v>
      </c>
      <c r="H5" s="27">
        <f t="shared" ca="1" si="2"/>
        <v>0</v>
      </c>
      <c r="I5" s="25">
        <f t="shared" ca="1" si="3"/>
        <v>0</v>
      </c>
    </row>
    <row r="6" spans="1:10" ht="15.75" customHeight="1">
      <c r="A6" s="25">
        <f t="shared" si="4"/>
        <v>115.28</v>
      </c>
      <c r="B6" s="26">
        <v>-0.1</v>
      </c>
      <c r="C6" s="25">
        <f t="shared" si="0"/>
        <v>103.752</v>
      </c>
      <c r="D6" s="25">
        <f ca="1">SUM('-10 UnitCost'!F10:AB10)</f>
        <v>192433.35786599724</v>
      </c>
      <c r="E6" s="25">
        <f ca="1">SUM('-10 UnitCost'!F9:AB9)</f>
        <v>-20663.047132779691</v>
      </c>
      <c r="F6" s="25">
        <f t="shared" ca="1" si="1"/>
        <v>1520.6703620124681</v>
      </c>
      <c r="G6" s="25">
        <f ca="1">'-10 UnitCost'!$B$19</f>
        <v>26730.664882665107</v>
      </c>
      <c r="H6" s="27">
        <f t="shared" ca="1" si="2"/>
        <v>4.9661333586534975E-2</v>
      </c>
      <c r="I6" s="25">
        <f t="shared" ca="1" si="3"/>
        <v>1264.6750177908398</v>
      </c>
    </row>
    <row r="7" spans="1:10" ht="15.75" customHeight="1">
      <c r="A7" s="25">
        <f t="shared" si="4"/>
        <v>115.28</v>
      </c>
      <c r="B7" s="26">
        <v>-0.2</v>
      </c>
      <c r="C7" s="25">
        <f t="shared" si="0"/>
        <v>92.224000000000004</v>
      </c>
      <c r="D7" s="25">
        <f ca="1">SUM('-20 UnitCost'!F10:AB10)</f>
        <v>192433.35786599724</v>
      </c>
      <c r="E7" s="25">
        <f ca="1">SUM('-20 UnitCost'!F9:AB9)</f>
        <v>-18367.15300691528</v>
      </c>
      <c r="F7" s="25">
        <f t="shared" ca="1" si="1"/>
        <v>3816.5644878768799</v>
      </c>
      <c r="G7" s="25">
        <f ca="1">'-20 UnitCost'!$B$19</f>
        <v>28562.633070701377</v>
      </c>
      <c r="H7" s="27">
        <f t="shared" ca="1" si="2"/>
        <v>0.12159916901947602</v>
      </c>
      <c r="I7" s="25">
        <f t="shared" ca="1" si="3"/>
        <v>3096.6432058271093</v>
      </c>
    </row>
    <row r="8" spans="1:10" ht="15.75" customHeight="1">
      <c r="A8" s="25">
        <f t="shared" si="4"/>
        <v>115.28</v>
      </c>
      <c r="B8" s="26">
        <v>-0.3</v>
      </c>
      <c r="C8" s="25">
        <f t="shared" si="0"/>
        <v>80.695999999999998</v>
      </c>
      <c r="D8" s="25">
        <f ca="1">SUM('-30 UnitCost'!F10:AB10)</f>
        <v>192433.35786599724</v>
      </c>
      <c r="E8" s="25">
        <f ca="1">SUM('-30 UnitCost'!F9:AB9)</f>
        <v>-16071.25888105087</v>
      </c>
      <c r="F8" s="25">
        <f t="shared" ca="1" si="1"/>
        <v>6112.4586137412898</v>
      </c>
      <c r="G8" s="25">
        <f ca="1">'-30 UnitCost'!$B$19</f>
        <v>30394.601258737661</v>
      </c>
      <c r="H8" s="27">
        <f t="shared" ca="1" si="2"/>
        <v>0.19353700445241764</v>
      </c>
      <c r="I8" s="25">
        <f t="shared" ca="1" si="3"/>
        <v>4928.6113938633935</v>
      </c>
    </row>
    <row r="9" spans="1:10" ht="15.75" customHeight="1"/>
    <row r="10" spans="1:10" ht="15.75" customHeight="1">
      <c r="E10" s="30"/>
    </row>
    <row r="11" spans="1:10" ht="15.75" customHeight="1">
      <c r="E11" s="30"/>
    </row>
    <row r="12" spans="1:10" ht="15.75" customHeight="1">
      <c r="E12" s="30"/>
    </row>
    <row r="13" spans="1:10" ht="15.75" customHeight="1">
      <c r="E13" s="30"/>
    </row>
    <row r="14" spans="1:10" ht="15.75" customHeight="1">
      <c r="E14" s="30"/>
    </row>
    <row r="15" spans="1:10" ht="15.75" customHeight="1">
      <c r="E15" s="30"/>
    </row>
    <row r="16" spans="1:10" ht="15.75" customHeight="1">
      <c r="E16" s="30"/>
    </row>
    <row r="17" spans="5:5" ht="15.75" customHeight="1">
      <c r="E17" s="30"/>
    </row>
    <row r="18" spans="5:5" ht="15.75" customHeight="1"/>
    <row r="19" spans="5:5" ht="15.75" customHeight="1"/>
    <row r="20" spans="5:5" ht="15.75" customHeight="1"/>
    <row r="21" spans="5:5" ht="15.75" customHeight="1"/>
    <row r="22" spans="5:5" ht="15.75" customHeight="1"/>
    <row r="23" spans="5:5" ht="15.75" customHeight="1"/>
    <row r="24" spans="5:5" ht="15.75" customHeight="1"/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ScenarioParameters</vt:lpstr>
      <vt:lpstr>BaseCase</vt:lpstr>
      <vt:lpstr>+10 UnitCost</vt:lpstr>
      <vt:lpstr>-10 UnitCost</vt:lpstr>
      <vt:lpstr>+20 UnitCost</vt:lpstr>
      <vt:lpstr>-20 UnitCost</vt:lpstr>
      <vt:lpstr>+30 UnitCost</vt:lpstr>
      <vt:lpstr>-30 UnitCost</vt:lpstr>
      <vt:lpstr>+10% SalesVol</vt:lpstr>
      <vt:lpstr>-10% SalesVol</vt:lpstr>
      <vt:lpstr>+20% SalesVol</vt:lpstr>
      <vt:lpstr>-20% SalesVol</vt:lpstr>
      <vt:lpstr>+30% SalesVol</vt:lpstr>
      <vt:lpstr>-30% SalesVol</vt:lpstr>
      <vt:lpstr>SalesVolume_Sensitivity</vt:lpstr>
      <vt:lpstr>DevelopmentCost_Sensitivity</vt:lpstr>
      <vt:lpstr>+10% DevCost</vt:lpstr>
      <vt:lpstr>-10% DevCost</vt:lpstr>
      <vt:lpstr>-20% DevCost</vt:lpstr>
      <vt:lpstr>+20% DevCost</vt:lpstr>
      <vt:lpstr>+30% DevCost</vt:lpstr>
      <vt:lpstr>-30% DevCost</vt:lpstr>
      <vt:lpstr>-1 DevTime</vt:lpstr>
      <vt:lpstr>-2 DevTime</vt:lpstr>
      <vt:lpstr>+1 DevTime</vt:lpstr>
      <vt:lpstr>+2 DevTime</vt:lpstr>
      <vt:lpstr>+3 DevTime</vt:lpstr>
      <vt:lpstr>DevTime_Sensitivity</vt:lpstr>
      <vt:lpstr>UnitCost_Sensitivity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Ortiz-Rivas</dc:creator>
  <cp:lastModifiedBy>gpothula</cp:lastModifiedBy>
  <dcterms:created xsi:type="dcterms:W3CDTF">2025-11-21T02:24:22Z</dcterms:created>
  <dcterms:modified xsi:type="dcterms:W3CDTF">2026-09-29T19:43:39Z</dcterms:modified>
</cp:coreProperties>
</file>