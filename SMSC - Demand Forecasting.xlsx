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eeshma\Downloads\"/>
    </mc:Choice>
  </mc:AlternateContent>
  <xr:revisionPtr revIDLastSave="0" documentId="13_ncr:1_{F540CCB6-9CD2-4676-B90F-FDAAA5E5154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inter" sheetId="6" r:id="rId1"/>
    <sheet name="Static Method" sheetId="1" r:id="rId2"/>
    <sheet name="Moving Average" sheetId="2" r:id="rId3"/>
    <sheet name="Simple Exponential Smoothing" sheetId="3" r:id="rId4"/>
    <sheet name="Holt" sheetId="4" r:id="rId5"/>
    <sheet name="AIO" sheetId="5" r:id="rId6"/>
    <sheet name="Error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I3" i="6" s="1"/>
  <c r="E3" i="6"/>
  <c r="G3" i="4"/>
  <c r="H3" i="4" s="1"/>
  <c r="I3" i="4" s="1"/>
  <c r="F2" i="4"/>
  <c r="E2" i="4"/>
  <c r="E3" i="4" s="1"/>
  <c r="I5" i="3"/>
  <c r="E5" i="3"/>
  <c r="F4" i="3"/>
  <c r="G4" i="3" s="1"/>
  <c r="E4" i="3"/>
  <c r="F5" i="3" s="1"/>
  <c r="G5" i="3" s="1"/>
  <c r="L3" i="3"/>
  <c r="M3" i="3" s="1"/>
  <c r="H3" i="3"/>
  <c r="F3" i="3"/>
  <c r="G3" i="3" s="1"/>
  <c r="E2" i="3"/>
  <c r="E3" i="3" s="1"/>
  <c r="F9" i="2"/>
  <c r="G9" i="2" s="1"/>
  <c r="E9" i="2"/>
  <c r="F10" i="2" s="1"/>
  <c r="E8" i="2"/>
  <c r="E7" i="2"/>
  <c r="F8" i="2" s="1"/>
  <c r="G8" i="2" s="1"/>
  <c r="I8" i="2" s="1"/>
  <c r="O6" i="2"/>
  <c r="F6" i="2"/>
  <c r="G6" i="2" s="1"/>
  <c r="E6" i="2"/>
  <c r="F7" i="2" s="1"/>
  <c r="G7" i="2" s="1"/>
  <c r="E5" i="2"/>
  <c r="E7" i="1"/>
  <c r="E6" i="1"/>
  <c r="E5" i="1"/>
  <c r="E4" i="1"/>
  <c r="L7" i="2" l="1"/>
  <c r="M7" i="2" s="1"/>
  <c r="H7" i="2"/>
  <c r="L6" i="2"/>
  <c r="M6" i="2" s="1"/>
  <c r="H6" i="2"/>
  <c r="I6" i="2"/>
  <c r="I7" i="2"/>
  <c r="I4" i="3"/>
  <c r="H4" i="3"/>
  <c r="L4" i="3"/>
  <c r="M4" i="3" s="1"/>
  <c r="O7" i="2"/>
  <c r="N4" i="3"/>
  <c r="N3" i="3"/>
  <c r="L8" i="2"/>
  <c r="M8" i="2" s="1"/>
  <c r="H8" i="2"/>
  <c r="L3" i="4"/>
  <c r="Q3" i="6"/>
  <c r="K3" i="6"/>
  <c r="J3" i="6"/>
  <c r="N3" i="6"/>
  <c r="O3" i="6" s="1"/>
  <c r="D22" i="1"/>
  <c r="D23" i="1"/>
  <c r="K4" i="3"/>
  <c r="K3" i="3"/>
  <c r="F6" i="3"/>
  <c r="G6" i="3" s="1"/>
  <c r="E6" i="3"/>
  <c r="I9" i="2"/>
  <c r="H9" i="2"/>
  <c r="L9" i="2"/>
  <c r="M9" i="2" s="1"/>
  <c r="P3" i="4"/>
  <c r="J3" i="4"/>
  <c r="O3" i="3"/>
  <c r="P3" i="3" s="1"/>
  <c r="I3" i="3"/>
  <c r="H5" i="3"/>
  <c r="L5" i="3"/>
  <c r="M5" i="3" s="1"/>
  <c r="F3" i="4"/>
  <c r="E4" i="4" s="1"/>
  <c r="M3" i="4"/>
  <c r="N3" i="4" s="1"/>
  <c r="H4" i="6"/>
  <c r="I4" i="6" s="1"/>
  <c r="F3" i="6"/>
  <c r="E4" i="6" s="1"/>
  <c r="G7" i="6"/>
  <c r="J4" i="6" l="1"/>
  <c r="N4" i="6"/>
  <c r="O4" i="6" s="1"/>
  <c r="K4" i="6"/>
  <c r="Q4" i="6"/>
  <c r="M3" i="6"/>
  <c r="R3" i="6" s="1"/>
  <c r="O4" i="3"/>
  <c r="O3" i="4"/>
  <c r="K3" i="4"/>
  <c r="L4" i="6"/>
  <c r="L3" i="6"/>
  <c r="G5" i="4"/>
  <c r="H5" i="4" s="1"/>
  <c r="E5" i="4"/>
  <c r="F4" i="4"/>
  <c r="F16" i="1"/>
  <c r="F12" i="1"/>
  <c r="F9" i="1"/>
  <c r="F7" i="1"/>
  <c r="F3" i="1"/>
  <c r="F17" i="1"/>
  <c r="F10" i="1"/>
  <c r="F2" i="1"/>
  <c r="F15" i="1"/>
  <c r="F13" i="1"/>
  <c r="F8" i="1"/>
  <c r="F11" i="1"/>
  <c r="F4" i="1"/>
  <c r="F6" i="1"/>
  <c r="F5" i="1"/>
  <c r="F14" i="1"/>
  <c r="N5" i="3"/>
  <c r="J8" i="2"/>
  <c r="J7" i="2"/>
  <c r="J9" i="2"/>
  <c r="J6" i="2"/>
  <c r="L6" i="3"/>
  <c r="M6" i="3" s="1"/>
  <c r="H6" i="3"/>
  <c r="I6" i="3"/>
  <c r="N9" i="2"/>
  <c r="N8" i="2"/>
  <c r="N6" i="2"/>
  <c r="N7" i="2"/>
  <c r="Q3" i="4"/>
  <c r="G8" i="6"/>
  <c r="F4" i="6"/>
  <c r="H5" i="6" s="1"/>
  <c r="I5" i="6" s="1"/>
  <c r="G4" i="4"/>
  <c r="H4" i="4" s="1"/>
  <c r="J3" i="3"/>
  <c r="J6" i="3"/>
  <c r="J4" i="3"/>
  <c r="J5" i="3"/>
  <c r="E7" i="3"/>
  <c r="F7" i="3"/>
  <c r="G7" i="3" s="1"/>
  <c r="K5" i="3"/>
  <c r="P4" i="6"/>
  <c r="P3" i="6"/>
  <c r="O8" i="2"/>
  <c r="K8" i="2"/>
  <c r="K9" i="2"/>
  <c r="K6" i="2"/>
  <c r="P6" i="2" s="1"/>
  <c r="K7" i="2"/>
  <c r="P7" i="2" s="1"/>
  <c r="K5" i="6" l="1"/>
  <c r="Q5" i="6"/>
  <c r="J5" i="6"/>
  <c r="N5" i="6"/>
  <c r="O5" i="6" s="1"/>
  <c r="M5" i="6"/>
  <c r="N6" i="3"/>
  <c r="P8" i="2"/>
  <c r="O9" i="2"/>
  <c r="P9" i="2" s="1"/>
  <c r="E5" i="6"/>
  <c r="G2" i="1"/>
  <c r="G7" i="1"/>
  <c r="K6" i="3"/>
  <c r="G6" i="1"/>
  <c r="F5" i="4"/>
  <c r="E6" i="4" s="1"/>
  <c r="I7" i="3"/>
  <c r="L7" i="3"/>
  <c r="M7" i="3" s="1"/>
  <c r="N7" i="3" s="1"/>
  <c r="H7" i="3"/>
  <c r="K7" i="3" s="1"/>
  <c r="G4" i="1"/>
  <c r="G3" i="1"/>
  <c r="J5" i="4"/>
  <c r="M5" i="4"/>
  <c r="N5" i="4" s="1"/>
  <c r="I5" i="4"/>
  <c r="E8" i="3"/>
  <c r="F8" i="3"/>
  <c r="G8" i="3" s="1"/>
  <c r="I4" i="4"/>
  <c r="M4" i="4"/>
  <c r="N4" i="4" s="1"/>
  <c r="J4" i="4"/>
  <c r="P4" i="4"/>
  <c r="P5" i="4" s="1"/>
  <c r="G5" i="1"/>
  <c r="G8" i="1"/>
  <c r="G9" i="1"/>
  <c r="P4" i="3"/>
  <c r="O5" i="3"/>
  <c r="M4" i="6"/>
  <c r="R4" i="6" s="1"/>
  <c r="F6" i="4" l="1"/>
  <c r="G7" i="4" s="1"/>
  <c r="H7" i="4" s="1"/>
  <c r="E7" i="4"/>
  <c r="I8" i="3"/>
  <c r="H8" i="3"/>
  <c r="L8" i="3"/>
  <c r="M8" i="3" s="1"/>
  <c r="N8" i="3" s="1"/>
  <c r="F5" i="6"/>
  <c r="E6" i="6" s="1"/>
  <c r="H6" i="6"/>
  <c r="I6" i="6" s="1"/>
  <c r="G9" i="6"/>
  <c r="K4" i="4"/>
  <c r="K5" i="4"/>
  <c r="F9" i="3"/>
  <c r="G9" i="3" s="1"/>
  <c r="E9" i="3"/>
  <c r="H15" i="1"/>
  <c r="I15" i="1" s="1"/>
  <c r="H3" i="1"/>
  <c r="I3" i="1" s="1"/>
  <c r="J3" i="1" s="1"/>
  <c r="H7" i="1"/>
  <c r="I7" i="1" s="1"/>
  <c r="J7" i="1" s="1"/>
  <c r="H11" i="1"/>
  <c r="I11" i="1" s="1"/>
  <c r="G6" i="4"/>
  <c r="H6" i="4" s="1"/>
  <c r="P5" i="6"/>
  <c r="O4" i="4"/>
  <c r="O5" i="4"/>
  <c r="R5" i="6"/>
  <c r="P5" i="3"/>
  <c r="O6" i="3"/>
  <c r="H17" i="1"/>
  <c r="I17" i="1" s="1"/>
  <c r="H13" i="1"/>
  <c r="I13" i="1" s="1"/>
  <c r="H5" i="1"/>
  <c r="I5" i="1" s="1"/>
  <c r="J5" i="1" s="1"/>
  <c r="H9" i="1"/>
  <c r="I9" i="1" s="1"/>
  <c r="J9" i="1" s="1"/>
  <c r="L5" i="4"/>
  <c r="Q5" i="4" s="1"/>
  <c r="L4" i="4"/>
  <c r="Q4" i="4" s="1"/>
  <c r="H8" i="1"/>
  <c r="I8" i="1" s="1"/>
  <c r="J8" i="1" s="1"/>
  <c r="H4" i="1"/>
  <c r="I4" i="1" s="1"/>
  <c r="J4" i="1" s="1"/>
  <c r="H16" i="1"/>
  <c r="I16" i="1" s="1"/>
  <c r="H12" i="1"/>
  <c r="I12" i="1" s="1"/>
  <c r="J7" i="3"/>
  <c r="J8" i="3"/>
  <c r="H2" i="1"/>
  <c r="I2" i="1" s="1"/>
  <c r="J2" i="1" s="1"/>
  <c r="H6" i="1"/>
  <c r="I6" i="1" s="1"/>
  <c r="J6" i="1" s="1"/>
  <c r="H14" i="1"/>
  <c r="I14" i="1" s="1"/>
  <c r="H10" i="1"/>
  <c r="I10" i="1" s="1"/>
  <c r="L5" i="6"/>
  <c r="G10" i="6" l="1"/>
  <c r="F6" i="6"/>
  <c r="E7" i="6" s="1"/>
  <c r="P7" i="4"/>
  <c r="M7" i="4"/>
  <c r="N7" i="4" s="1"/>
  <c r="I7" i="4"/>
  <c r="J7" i="4"/>
  <c r="Q9" i="1"/>
  <c r="K8" i="1" a="1"/>
  <c r="K8" i="1" s="1"/>
  <c r="Q7" i="1"/>
  <c r="K5" i="1" a="1"/>
  <c r="K5" i="1" s="1"/>
  <c r="Q3" i="1"/>
  <c r="K2" i="1" a="1"/>
  <c r="K2" i="1" s="1"/>
  <c r="Q8" i="1"/>
  <c r="Q6" i="1"/>
  <c r="Q5" i="1"/>
  <c r="K4" i="1" a="1"/>
  <c r="K4" i="1" s="1"/>
  <c r="Q4" i="1"/>
  <c r="K3" i="1" a="1"/>
  <c r="K3" i="1" s="1"/>
  <c r="N2" i="1"/>
  <c r="K9" i="1" a="1"/>
  <c r="K9" i="1" s="1"/>
  <c r="K6" i="1" a="1"/>
  <c r="K6" i="1" s="1"/>
  <c r="K7" i="1" a="1"/>
  <c r="K7" i="1" s="1"/>
  <c r="Q2" i="1"/>
  <c r="L2" i="1"/>
  <c r="L8" i="1"/>
  <c r="O8" i="1" s="1"/>
  <c r="N8" i="1"/>
  <c r="N9" i="1"/>
  <c r="L9" i="1"/>
  <c r="O9" i="1" s="1"/>
  <c r="P6" i="3"/>
  <c r="O7" i="3"/>
  <c r="N7" i="1"/>
  <c r="L7" i="1"/>
  <c r="O7" i="1" s="1"/>
  <c r="H9" i="3"/>
  <c r="K9" i="3" s="1"/>
  <c r="L9" i="3"/>
  <c r="M9" i="3" s="1"/>
  <c r="N9" i="3" s="1"/>
  <c r="I9" i="3"/>
  <c r="J9" i="3" s="1"/>
  <c r="F7" i="4"/>
  <c r="G8" i="4" s="1"/>
  <c r="H8" i="4" s="1"/>
  <c r="N5" i="1"/>
  <c r="L5" i="1"/>
  <c r="O5" i="1" s="1"/>
  <c r="L3" i="1"/>
  <c r="O3" i="1" s="1"/>
  <c r="N3" i="1"/>
  <c r="N6" i="6"/>
  <c r="O6" i="6" s="1"/>
  <c r="J6" i="6"/>
  <c r="K6" i="6"/>
  <c r="Q6" i="6"/>
  <c r="K8" i="3"/>
  <c r="M6" i="4"/>
  <c r="N6" i="4" s="1"/>
  <c r="I6" i="4"/>
  <c r="J6" i="4"/>
  <c r="P6" i="4"/>
  <c r="L6" i="1"/>
  <c r="O6" i="1" s="1"/>
  <c r="N6" i="1"/>
  <c r="N4" i="1"/>
  <c r="L4" i="1"/>
  <c r="O4" i="1" s="1"/>
  <c r="F10" i="3"/>
  <c r="G10" i="3" s="1"/>
  <c r="E10" i="3"/>
  <c r="F11" i="3" s="1"/>
  <c r="P8" i="4" l="1"/>
  <c r="J8" i="4"/>
  <c r="I8" i="4"/>
  <c r="L8" i="4" s="1"/>
  <c r="M8" i="4"/>
  <c r="N8" i="4" s="1"/>
  <c r="G11" i="6"/>
  <c r="F7" i="6"/>
  <c r="H8" i="6" s="1"/>
  <c r="I8" i="6" s="1"/>
  <c r="E8" i="6"/>
  <c r="K7" i="4"/>
  <c r="K6" i="4"/>
  <c r="K8" i="4"/>
  <c r="R7" i="1"/>
  <c r="L6" i="4"/>
  <c r="L7" i="4"/>
  <c r="Q7" i="4" s="1"/>
  <c r="P6" i="6"/>
  <c r="R6" i="6"/>
  <c r="M9" i="1"/>
  <c r="M7" i="1"/>
  <c r="M3" i="1"/>
  <c r="O2" i="1"/>
  <c r="M4" i="1"/>
  <c r="R4" i="1" s="1"/>
  <c r="M6" i="1"/>
  <c r="M5" i="1"/>
  <c r="M8" i="1"/>
  <c r="R8" i="1" s="1"/>
  <c r="M2" i="1"/>
  <c r="R2" i="1" s="1"/>
  <c r="L10" i="3"/>
  <c r="M10" i="3" s="1"/>
  <c r="N10" i="3" s="1"/>
  <c r="H10" i="3"/>
  <c r="K10" i="3" s="1"/>
  <c r="I10" i="3"/>
  <c r="O7" i="4"/>
  <c r="O6" i="4"/>
  <c r="L6" i="6"/>
  <c r="E8" i="4"/>
  <c r="R5" i="1"/>
  <c r="R3" i="1"/>
  <c r="R9" i="1"/>
  <c r="H7" i="6"/>
  <c r="I7" i="6" s="1"/>
  <c r="Q6" i="4"/>
  <c r="M6" i="6"/>
  <c r="P7" i="3"/>
  <c r="O8" i="3"/>
  <c r="R6" i="1"/>
  <c r="J10" i="3"/>
  <c r="N8" i="6" l="1"/>
  <c r="O8" i="6" s="1"/>
  <c r="J8" i="6"/>
  <c r="Q8" i="6"/>
  <c r="K8" i="6"/>
  <c r="F8" i="4"/>
  <c r="G9" i="4" s="1"/>
  <c r="H9" i="4" s="1"/>
  <c r="P8" i="3"/>
  <c r="O9" i="3"/>
  <c r="Q7" i="6"/>
  <c r="K7" i="6"/>
  <c r="J7" i="6"/>
  <c r="N7" i="6"/>
  <c r="O7" i="6" s="1"/>
  <c r="O8" i="4"/>
  <c r="H9" i="6"/>
  <c r="I9" i="6" s="1"/>
  <c r="F8" i="6"/>
  <c r="G12" i="6"/>
  <c r="E9" i="6"/>
  <c r="P6" i="1"/>
  <c r="P2" i="1"/>
  <c r="P9" i="1"/>
  <c r="P8" i="1"/>
  <c r="P3" i="1"/>
  <c r="P4" i="1"/>
  <c r="P7" i="1"/>
  <c r="P5" i="1"/>
  <c r="Q8" i="4"/>
  <c r="J9" i="4" l="1"/>
  <c r="M9" i="4"/>
  <c r="N9" i="4" s="1"/>
  <c r="I9" i="4"/>
  <c r="P9" i="4"/>
  <c r="L8" i="6"/>
  <c r="L7" i="6"/>
  <c r="E9" i="4"/>
  <c r="P8" i="6"/>
  <c r="P7" i="6"/>
  <c r="P9" i="3"/>
  <c r="O10" i="3"/>
  <c r="P10" i="3" s="1"/>
  <c r="Q9" i="6"/>
  <c r="K9" i="6"/>
  <c r="L9" i="6" s="1"/>
  <c r="J9" i="6"/>
  <c r="N9" i="6"/>
  <c r="O9" i="6" s="1"/>
  <c r="P9" i="6" s="1"/>
  <c r="F9" i="6"/>
  <c r="H10" i="6" s="1"/>
  <c r="I10" i="6" s="1"/>
  <c r="G13" i="6"/>
  <c r="E10" i="6"/>
  <c r="M7" i="6"/>
  <c r="R7" i="6" s="1"/>
  <c r="M9" i="6"/>
  <c r="M8" i="6"/>
  <c r="R8" i="6" s="1"/>
  <c r="N10" i="6" l="1"/>
  <c r="O10" i="6" s="1"/>
  <c r="J10" i="6"/>
  <c r="M10" i="6" s="1"/>
  <c r="Q10" i="6"/>
  <c r="K10" i="6"/>
  <c r="L10" i="6" s="1"/>
  <c r="P10" i="6"/>
  <c r="L9" i="4"/>
  <c r="Q9" i="4" s="1"/>
  <c r="O9" i="4"/>
  <c r="F10" i="6"/>
  <c r="H14" i="6" s="1"/>
  <c r="H17" i="6"/>
  <c r="H15" i="6"/>
  <c r="G14" i="6"/>
  <c r="H18" i="6" s="1"/>
  <c r="F9" i="4"/>
  <c r="E10" i="4" s="1"/>
  <c r="G10" i="4"/>
  <c r="H10" i="4" s="1"/>
  <c r="R9" i="6"/>
  <c r="K9" i="4"/>
  <c r="F10" i="4" l="1"/>
  <c r="G18" i="4" s="1"/>
  <c r="R10" i="6"/>
  <c r="M10" i="4"/>
  <c r="N10" i="4" s="1"/>
  <c r="O10" i="4" s="1"/>
  <c r="I10" i="4"/>
  <c r="L10" i="4" s="1"/>
  <c r="P10" i="4"/>
  <c r="J10" i="4"/>
  <c r="K10" i="4" s="1"/>
  <c r="H16" i="6"/>
  <c r="H12" i="6"/>
  <c r="H11" i="6"/>
  <c r="H13" i="6"/>
  <c r="G14" i="4" l="1"/>
  <c r="G16" i="4"/>
  <c r="G17" i="4"/>
  <c r="G15" i="4"/>
  <c r="G11" i="4"/>
  <c r="Q10" i="4"/>
  <c r="G12" i="4"/>
  <c r="G13" i="4"/>
</calcChain>
</file>

<file path=xl/sharedStrings.xml><?xml version="1.0" encoding="utf-8"?>
<sst xmlns="http://schemas.openxmlformats.org/spreadsheetml/2006/main" count="113" uniqueCount="45">
  <si>
    <t>Year</t>
  </si>
  <si>
    <t>Quarter</t>
  </si>
  <si>
    <t>Period, t</t>
  </si>
  <si>
    <r>
      <rPr>
        <b/>
        <sz val="11"/>
        <color theme="1"/>
        <rFont val="Arial"/>
        <family val="2"/>
      </rPr>
      <t>Demand, D</t>
    </r>
    <r>
      <rPr>
        <b/>
        <sz val="8"/>
        <color theme="1"/>
        <rFont val="Arial"/>
        <family val="2"/>
      </rPr>
      <t>t</t>
    </r>
  </si>
  <si>
    <r>
      <rPr>
        <b/>
        <sz val="11"/>
        <color theme="1"/>
        <rFont val="Arial"/>
        <family val="2"/>
      </rPr>
      <t>Deseasonalized Demand, D</t>
    </r>
    <r>
      <rPr>
        <b/>
        <sz val="8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¯’</t>
    </r>
  </si>
  <si>
    <r>
      <rPr>
        <b/>
        <sz val="11"/>
        <color theme="1"/>
        <rFont val="Arial"/>
        <family val="2"/>
      </rPr>
      <t>Regressed deseasonalized demand, D</t>
    </r>
    <r>
      <rPr>
        <b/>
        <sz val="8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¯</t>
    </r>
  </si>
  <si>
    <r>
      <rPr>
        <b/>
        <sz val="11"/>
        <color theme="1"/>
        <rFont val="Arial"/>
        <family val="2"/>
      </rPr>
      <t>Seasonal Factor, S</t>
    </r>
    <r>
      <rPr>
        <b/>
        <sz val="8"/>
        <color theme="1"/>
        <rFont val="Arial"/>
        <family val="2"/>
      </rPr>
      <t>i</t>
    </r>
  </si>
  <si>
    <r>
      <rPr>
        <b/>
        <sz val="11"/>
        <color theme="1"/>
        <rFont val="Aptos Narrow"/>
        <family val="2"/>
      </rPr>
      <t>Average Seasonal factor, S</t>
    </r>
    <r>
      <rPr>
        <b/>
        <sz val="8"/>
        <color theme="1"/>
        <rFont val="Aptos Narrow"/>
        <family val="2"/>
      </rPr>
      <t>i</t>
    </r>
    <r>
      <rPr>
        <b/>
        <sz val="11"/>
        <color theme="1"/>
        <rFont val="Aptos Narrow"/>
        <family val="2"/>
      </rPr>
      <t>¯</t>
    </r>
  </si>
  <si>
    <r>
      <rPr>
        <b/>
        <sz val="11"/>
        <color theme="1"/>
        <rFont val="Aptos Narrow"/>
        <family val="2"/>
      </rPr>
      <t>Forecasts, F</t>
    </r>
    <r>
      <rPr>
        <b/>
        <sz val="8"/>
        <color theme="1"/>
        <rFont val="Aptos Narrow"/>
        <family val="2"/>
      </rPr>
      <t>t+l</t>
    </r>
  </si>
  <si>
    <t>Forecast Error</t>
  </si>
  <si>
    <t>Mean Square Error</t>
  </si>
  <si>
    <t>Absolute Error or Deviation</t>
  </si>
  <si>
    <t>Mean Absolute Deviation</t>
  </si>
  <si>
    <t>Percent Error</t>
  </si>
  <si>
    <t>Absolute Percent Error</t>
  </si>
  <si>
    <t xml:space="preserve">Mean Absolute Percent Error </t>
  </si>
  <si>
    <t>Bias</t>
  </si>
  <si>
    <t>Tracking Signal</t>
  </si>
  <si>
    <r>
      <rPr>
        <b/>
        <sz val="11"/>
        <color theme="1"/>
        <rFont val="Aptos Narrow"/>
        <family val="2"/>
      </rPr>
      <t>Demand, D</t>
    </r>
    <r>
      <rPr>
        <b/>
        <sz val="8"/>
        <color theme="1"/>
        <rFont val="Aptos Narrow"/>
        <family val="2"/>
      </rPr>
      <t>t</t>
    </r>
  </si>
  <si>
    <t>Level</t>
  </si>
  <si>
    <t>Forecast</t>
  </si>
  <si>
    <t>Absolute Error</t>
  </si>
  <si>
    <t>Squared Error</t>
  </si>
  <si>
    <t>Mean Squared Error</t>
  </si>
  <si>
    <t>Mean Absolute Percent Error</t>
  </si>
  <si>
    <t>Tracking  Signal</t>
  </si>
  <si>
    <t>intercept:</t>
  </si>
  <si>
    <t>x var:</t>
  </si>
  <si>
    <r>
      <rPr>
        <b/>
        <sz val="11"/>
        <color theme="1"/>
        <rFont val="Aptos Narrow"/>
        <family val="2"/>
      </rPr>
      <t>Demand, D</t>
    </r>
    <r>
      <rPr>
        <b/>
        <sz val="8"/>
        <color theme="1"/>
        <rFont val="Aptos Narrow"/>
        <family val="2"/>
      </rPr>
      <t>t</t>
    </r>
  </si>
  <si>
    <t>Trend</t>
  </si>
  <si>
    <t>Demand, Dt</t>
  </si>
  <si>
    <t>Static Forecasting</t>
  </si>
  <si>
    <t>Moving Average Forecasting</t>
  </si>
  <si>
    <t>SES Forecasting</t>
  </si>
  <si>
    <t>Holt Forecasting</t>
  </si>
  <si>
    <t>Winter's Forecasting</t>
  </si>
  <si>
    <r>
      <rPr>
        <b/>
        <sz val="11"/>
        <color theme="1"/>
        <rFont val="Aptos Narrow"/>
        <family val="2"/>
      </rPr>
      <t>Demand, D</t>
    </r>
    <r>
      <rPr>
        <b/>
        <sz val="8"/>
        <color theme="1"/>
        <rFont val="Aptos Narrow"/>
        <family val="2"/>
      </rPr>
      <t>t</t>
    </r>
  </si>
  <si>
    <t>Forecasting Method</t>
  </si>
  <si>
    <t>Static</t>
  </si>
  <si>
    <t>Moving Average</t>
  </si>
  <si>
    <t>SES</t>
  </si>
  <si>
    <t>Holt's</t>
  </si>
  <si>
    <t>Winter's</t>
  </si>
  <si>
    <r>
      <rPr>
        <b/>
        <sz val="11"/>
        <color theme="1"/>
        <rFont val="Aptos Narrow"/>
        <family val="2"/>
      </rPr>
      <t>Demand, D</t>
    </r>
    <r>
      <rPr>
        <b/>
        <sz val="8"/>
        <color theme="1"/>
        <rFont val="Aptos Narrow"/>
        <family val="2"/>
      </rPr>
      <t>t</t>
    </r>
  </si>
  <si>
    <t>Seasonal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</si>
</sst>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#,##0.000000"/>
    <numFmt numFmtId="167" formatCode="0.000000"/>
  </numFmts>
  <fonts count="12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164" fontId="3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1" fontId="3" fillId="0" borderId="0" xfId="0" applyNumberFormat="1" applyFont="1"/>
    <xf numFmtId="0" fontId="1" fillId="0" borderId="0" xfId="0" applyFont="1"/>
    <xf numFmtId="10" fontId="1" fillId="0" borderId="1" xfId="0" applyNumberFormat="1" applyFont="1" applyBorder="1" applyAlignment="1">
      <alignment horizontal="center" wrapText="1"/>
    </xf>
    <xf numFmtId="10" fontId="5" fillId="0" borderId="0" xfId="0" applyNumberFormat="1" applyFont="1"/>
    <xf numFmtId="3" fontId="6" fillId="0" borderId="0" xfId="0" applyNumberFormat="1" applyFont="1"/>
    <xf numFmtId="0" fontId="3" fillId="0" borderId="2" xfId="0" applyFont="1" applyBorder="1"/>
    <xf numFmtId="0" fontId="5" fillId="0" borderId="0" xfId="0" applyFont="1"/>
    <xf numFmtId="0" fontId="6" fillId="0" borderId="0" xfId="0" applyFont="1"/>
    <xf numFmtId="10" fontId="6" fillId="0" borderId="0" xfId="0" applyNumberFormat="1" applyFont="1"/>
    <xf numFmtId="3" fontId="5" fillId="0" borderId="0" xfId="0" applyNumberFormat="1" applyFont="1"/>
    <xf numFmtId="3" fontId="4" fillId="0" borderId="0" xfId="0" applyNumberFormat="1" applyFont="1"/>
    <xf numFmtId="0" fontId="3" fillId="0" borderId="0" xfId="0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/>
    </xf>
    <xf numFmtId="10" fontId="3" fillId="0" borderId="0" xfId="0" applyNumberFormat="1" applyFont="1" applyAlignment="1">
      <alignment horizontal="right" wrapText="1"/>
    </xf>
    <xf numFmtId="0" fontId="7" fillId="0" borderId="0" xfId="0" applyFont="1"/>
    <xf numFmtId="0" fontId="8" fillId="0" borderId="0" xfId="0" applyFont="1"/>
    <xf numFmtId="3" fontId="3" fillId="0" borderId="0" xfId="0" applyNumberFormat="1" applyFont="1"/>
    <xf numFmtId="166" fontId="3" fillId="0" borderId="0" xfId="0" applyNumberFormat="1" applyFont="1"/>
    <xf numFmtId="0" fontId="8" fillId="0" borderId="1" xfId="0" applyFont="1" applyBorder="1" applyAlignment="1">
      <alignment wrapText="1"/>
    </xf>
    <xf numFmtId="0" fontId="9" fillId="0" borderId="0" xfId="0" applyFont="1"/>
    <xf numFmtId="2" fontId="5" fillId="0" borderId="0" xfId="0" applyNumberFormat="1" applyFont="1"/>
    <xf numFmtId="0" fontId="8" fillId="0" borderId="0" xfId="0" applyFont="1" applyAlignment="1">
      <alignment wrapText="1"/>
    </xf>
    <xf numFmtId="0" fontId="4" fillId="0" borderId="0" xfId="0" applyFont="1"/>
    <xf numFmtId="167" fontId="1" fillId="0" borderId="1" xfId="0" applyNumberFormat="1" applyFont="1" applyBorder="1" applyAlignment="1">
      <alignment horizontal="center" wrapText="1"/>
    </xf>
    <xf numFmtId="0" fontId="1" fillId="0" borderId="1" xfId="0" applyFont="1" applyBorder="1"/>
    <xf numFmtId="167" fontId="4" fillId="0" borderId="0" xfId="0" applyNumberFormat="1" applyFont="1" applyAlignment="1">
      <alignment horizontal="right" wrapText="1"/>
    </xf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Demand vs.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Demand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Winter!$C$1:$C$1000</c:f>
              <c:strCache>
                <c:ptCount val="18"/>
                <c:pt idx="0">
                  <c:v>Period, t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</c:strCache>
            </c:strRef>
          </c:cat>
          <c:val>
            <c:numRef>
              <c:f>Winter!$D$1:$D$1000</c:f>
              <c:numCache>
                <c:formatCode>General</c:formatCode>
                <c:ptCount val="1000"/>
                <c:pt idx="0">
                  <c:v>0</c:v>
                </c:pt>
                <c:pt idx="2" formatCode="#,##0">
                  <c:v>5086</c:v>
                </c:pt>
                <c:pt idx="3" formatCode="#,##0">
                  <c:v>10171</c:v>
                </c:pt>
                <c:pt idx="4" formatCode="#,##0">
                  <c:v>6781</c:v>
                </c:pt>
                <c:pt idx="5" formatCode="#,##0">
                  <c:v>11866</c:v>
                </c:pt>
                <c:pt idx="6" formatCode="#,##0">
                  <c:v>6438</c:v>
                </c:pt>
                <c:pt idx="7" formatCode="#,##0">
                  <c:v>12875</c:v>
                </c:pt>
                <c:pt idx="8" formatCode="#,##0">
                  <c:v>8583</c:v>
                </c:pt>
                <c:pt idx="9" formatCode="#,##0">
                  <c:v>15021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D-471E-A9B5-934E62D0993C}"/>
            </c:ext>
          </c:extLst>
        </c:ser>
        <c:ser>
          <c:idx val="1"/>
          <c:order val="1"/>
          <c:tx>
            <c:v>Winter's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Winter!$C$1:$C$1000</c:f>
              <c:strCache>
                <c:ptCount val="18"/>
                <c:pt idx="0">
                  <c:v>Period, t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</c:strCache>
            </c:strRef>
          </c:cat>
          <c:val>
            <c:numRef>
              <c:f>Winter!$H$1:$H$1000</c:f>
              <c:numCache>
                <c:formatCode>General</c:formatCode>
                <c:ptCount val="1000"/>
                <c:pt idx="0">
                  <c:v>0</c:v>
                </c:pt>
                <c:pt idx="2" formatCode="#,##0">
                  <c:v>3106.9660699999999</c:v>
                </c:pt>
                <c:pt idx="3" formatCode="#,##0">
                  <c:v>7938.0762273228547</c:v>
                </c:pt>
                <c:pt idx="4" formatCode="#,##0">
                  <c:v>6160.357367530718</c:v>
                </c:pt>
                <c:pt idx="5" formatCode="#,##0">
                  <c:v>11872.917093341017</c:v>
                </c:pt>
                <c:pt idx="6" formatCode="#,##0">
                  <c:v>6518.2560872104332</c:v>
                </c:pt>
                <c:pt idx="7" formatCode="#,##0">
                  <c:v>12977.645242952407</c:v>
                </c:pt>
                <c:pt idx="8" formatCode="#,##0">
                  <c:v>8761.319763155132</c:v>
                </c:pt>
                <c:pt idx="9" formatCode="#,##0">
                  <c:v>15586.137160280839</c:v>
                </c:pt>
                <c:pt idx="10" formatCode="#,##0">
                  <c:v>8260.8289247197299</c:v>
                </c:pt>
                <c:pt idx="11" formatCode="#,##0">
                  <c:v>16215.661914774251</c:v>
                </c:pt>
                <c:pt idx="12" formatCode="#,##0">
                  <c:v>10767.267227513945</c:v>
                </c:pt>
                <c:pt idx="13" formatCode="#,##0">
                  <c:v>18944.319878203787</c:v>
                </c:pt>
                <c:pt idx="14" formatCode="#,##0">
                  <c:v>10119.138892682335</c:v>
                </c:pt>
                <c:pt idx="15" formatCode="#,##0">
                  <c:v>19669.223242946453</c:v>
                </c:pt>
                <c:pt idx="16" formatCode="#,##0">
                  <c:v>12944.52022549383</c:v>
                </c:pt>
                <c:pt idx="17" formatCode="#,##0">
                  <c:v>22590.722547869966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D-471E-A9B5-934E62D0993C}"/>
            </c:ext>
          </c:extLst>
        </c:ser>
        <c:ser>
          <c:idx val="2"/>
          <c:order val="2"/>
          <c:tx>
            <c:v>Holt's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Winter!$C$1:$C$1000</c:f>
              <c:strCache>
                <c:ptCount val="18"/>
                <c:pt idx="0">
                  <c:v>Period, t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</c:strCache>
            </c:strRef>
          </c:cat>
          <c:val>
            <c:numRef>
              <c:f>Holt!$G$3:$G$18</c:f>
              <c:numCache>
                <c:formatCode>#,##0</c:formatCode>
                <c:ptCount val="16"/>
                <c:pt idx="0">
                  <c:v>6500.166666666667</c:v>
                </c:pt>
                <c:pt idx="1">
                  <c:v>7231.0250000000015</c:v>
                </c:pt>
                <c:pt idx="2">
                  <c:v>8426.6972500000029</c:v>
                </c:pt>
                <c:pt idx="3">
                  <c:v>9147.3453025000035</c:v>
                </c:pt>
                <c:pt idx="4">
                  <c:v>10331.615096725005</c:v>
                </c:pt>
                <c:pt idx="5">
                  <c:v>10815.721760560255</c:v>
                </c:pt>
                <c:pt idx="6">
                  <c:v>11915.710540406379</c:v>
                </c:pt>
                <c:pt idx="7">
                  <c:v>12443.173336863823</c:v>
                </c:pt>
                <c:pt idx="8">
                  <c:v>13587.468120306889</c:v>
                </c:pt>
                <c:pt idx="9">
                  <c:v>14473.980237436333</c:v>
                </c:pt>
                <c:pt idx="10">
                  <c:v>15360.49235456578</c:v>
                </c:pt>
                <c:pt idx="11">
                  <c:v>16247.004471695225</c:v>
                </c:pt>
                <c:pt idx="12">
                  <c:v>17133.51658882467</c:v>
                </c:pt>
                <c:pt idx="13">
                  <c:v>18020.028705954119</c:v>
                </c:pt>
                <c:pt idx="14">
                  <c:v>18906.540823083564</c:v>
                </c:pt>
                <c:pt idx="15">
                  <c:v>19793.052940213012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D-471E-A9B5-934E62D0993C}"/>
            </c:ext>
          </c:extLst>
        </c:ser>
        <c:ser>
          <c:idx val="3"/>
          <c:order val="3"/>
          <c:tx>
            <c:v>SES</c:v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Winter!$C$1:$C$1000</c:f>
              <c:strCache>
                <c:ptCount val="18"/>
                <c:pt idx="0">
                  <c:v>Period, t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</c:strCache>
            </c:strRef>
          </c:cat>
          <c:val>
            <c:numRef>
              <c:f>'Simple Exponential Smoothing'!$F$1:$F$1000</c:f>
              <c:numCache>
                <c:formatCode>General</c:formatCode>
                <c:ptCount val="1000"/>
                <c:pt idx="0">
                  <c:v>0</c:v>
                </c:pt>
                <c:pt idx="2" formatCode="#,##0">
                  <c:v>9602.625</c:v>
                </c:pt>
                <c:pt idx="3" formatCode="#,##0">
                  <c:v>9150.9624999999996</c:v>
                </c:pt>
                <c:pt idx="4" formatCode="#,##0">
                  <c:v>9252.9662499999995</c:v>
                </c:pt>
                <c:pt idx="5" formatCode="#,##0">
                  <c:v>9005.769624999999</c:v>
                </c:pt>
                <c:pt idx="6" formatCode="#,##0">
                  <c:v>9291.7926625</c:v>
                </c:pt>
                <c:pt idx="7" formatCode="#,##0">
                  <c:v>9006.41339625</c:v>
                </c:pt>
                <c:pt idx="8" formatCode="#,##0">
                  <c:v>9393.2720566249991</c:v>
                </c:pt>
                <c:pt idx="9" formatCode="#,##0">
                  <c:v>9312.2448509624992</c:v>
                </c:pt>
                <c:pt idx="10" formatCode="#,##0">
                  <c:v>9883.1203658662489</c:v>
                </c:pt>
                <c:pt idx="11">
                  <c:v>1844</c:v>
                </c:pt>
                <c:pt idx="12">
                  <c:v>1844</c:v>
                </c:pt>
                <c:pt idx="13">
                  <c:v>1844</c:v>
                </c:pt>
                <c:pt idx="14">
                  <c:v>1844</c:v>
                </c:pt>
                <c:pt idx="15">
                  <c:v>1844</c:v>
                </c:pt>
                <c:pt idx="16">
                  <c:v>1844</c:v>
                </c:pt>
                <c:pt idx="17">
                  <c:v>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7D-471E-A9B5-934E62D0993C}"/>
            </c:ext>
          </c:extLst>
        </c:ser>
        <c:ser>
          <c:idx val="4"/>
          <c:order val="4"/>
          <c:tx>
            <c:v>Moving Average</c:v>
          </c:tx>
          <c:spPr>
            <a:ln cmpd="sng">
              <a:solidFill>
                <a:srgbClr val="A02B93"/>
              </a:solidFill>
            </a:ln>
          </c:spPr>
          <c:marker>
            <c:symbol val="none"/>
          </c:marker>
          <c:cat>
            <c:strRef>
              <c:f>Winter!$C$1:$C$1000</c:f>
              <c:strCache>
                <c:ptCount val="18"/>
                <c:pt idx="0">
                  <c:v>Period, t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</c:strCache>
            </c:strRef>
          </c:cat>
          <c:val>
            <c:numRef>
              <c:f>'Moving Average'!$F$1:$F$1000</c:f>
              <c:numCache>
                <c:formatCode>General</c:formatCode>
                <c:ptCount val="1000"/>
                <c:pt idx="0">
                  <c:v>0</c:v>
                </c:pt>
                <c:pt idx="5" formatCode="#,##0">
                  <c:v>8476</c:v>
                </c:pt>
                <c:pt idx="6" formatCode="#,##0">
                  <c:v>8814</c:v>
                </c:pt>
                <c:pt idx="7" formatCode="#,##0">
                  <c:v>9490</c:v>
                </c:pt>
                <c:pt idx="8" formatCode="#,##0">
                  <c:v>9940.5</c:v>
                </c:pt>
                <c:pt idx="9" formatCode="#,##0">
                  <c:v>10729.25</c:v>
                </c:pt>
                <c:pt idx="10" formatCode="#,##0">
                  <c:v>10729.25</c:v>
                </c:pt>
                <c:pt idx="11" formatCode="#,##0">
                  <c:v>10729.25</c:v>
                </c:pt>
                <c:pt idx="12" formatCode="#,##0">
                  <c:v>10729.25</c:v>
                </c:pt>
                <c:pt idx="13" formatCode="#,##0">
                  <c:v>10729.25</c:v>
                </c:pt>
                <c:pt idx="14" formatCode="#,##0">
                  <c:v>10729.25</c:v>
                </c:pt>
                <c:pt idx="15" formatCode="#,##0">
                  <c:v>10729.25</c:v>
                </c:pt>
                <c:pt idx="16" formatCode="#,##0">
                  <c:v>10729.25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7D-471E-A9B5-934E62D0993C}"/>
            </c:ext>
          </c:extLst>
        </c:ser>
        <c:ser>
          <c:idx val="5"/>
          <c:order val="5"/>
          <c:tx>
            <c:v>Static</c:v>
          </c:tx>
          <c:spPr>
            <a:ln cmpd="sng">
              <a:solidFill>
                <a:srgbClr val="4EA72E"/>
              </a:solidFill>
            </a:ln>
          </c:spPr>
          <c:marker>
            <c:symbol val="none"/>
          </c:marker>
          <c:cat>
            <c:strRef>
              <c:f>Winter!$C$1:$C$1000</c:f>
              <c:strCache>
                <c:ptCount val="18"/>
                <c:pt idx="0">
                  <c:v>Period, t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</c:strCache>
            </c:strRef>
          </c:cat>
          <c:val>
            <c:numRef>
              <c:f>'Static Method'!$I$1:$I$1000</c:f>
              <c:numCache>
                <c:formatCode>0.00</c:formatCode>
                <c:ptCount val="1000"/>
                <c:pt idx="0" formatCode="General">
                  <c:v>0</c:v>
                </c:pt>
                <c:pt idx="1">
                  <c:v>3345.0745844847515</c:v>
                </c:pt>
                <c:pt idx="2">
                  <c:v>6743.7989247298774</c:v>
                </c:pt>
                <c:pt idx="3">
                  <c:v>4528.3009368291932</c:v>
                </c:pt>
                <c:pt idx="4">
                  <c:v>7975.6073326095702</c:v>
                </c:pt>
                <c:pt idx="5">
                  <c:v>4351.3066387193176</c:v>
                </c:pt>
                <c:pt idx="6">
                  <c:v>8630.5155854939967</c:v>
                </c:pt>
                <c:pt idx="7">
                  <c:v>5712.3695066449263</c:v>
                </c:pt>
                <c:pt idx="8">
                  <c:v>9933.1204593431576</c:v>
                </c:pt>
                <c:pt idx="9">
                  <c:v>5357.5386929538854</c:v>
                </c:pt>
                <c:pt idx="10">
                  <c:v>10517.232246258114</c:v>
                </c:pt>
                <c:pt idx="11">
                  <c:v>6896.4380764606594</c:v>
                </c:pt>
                <c:pt idx="12">
                  <c:v>11890.633586076745</c:v>
                </c:pt>
                <c:pt idx="13">
                  <c:v>6363.7707471884505</c:v>
                </c:pt>
                <c:pt idx="14">
                  <c:v>12403.948907022235</c:v>
                </c:pt>
                <c:pt idx="15">
                  <c:v>8080.5066462763916</c:v>
                </c:pt>
                <c:pt idx="16">
                  <c:v>13848.146712810332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7D-471E-A9B5-934E62D09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770420"/>
        <c:axId val="2092116280"/>
      </c:lineChart>
      <c:catAx>
        <c:axId val="1095770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2116280"/>
        <c:crosses val="autoZero"/>
        <c:auto val="1"/>
        <c:lblAlgn val="ctr"/>
        <c:lblOffset val="100"/>
        <c:noMultiLvlLbl val="1"/>
      </c:catAx>
      <c:valAx>
        <c:axId val="2092116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57704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Mean Squared Error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Winter's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Winter!$L$2:$L$1000</c:f>
              <c:numCache>
                <c:formatCode>#,##0.000000</c:formatCode>
                <c:ptCount val="999"/>
                <c:pt idx="1">
                  <c:v>3916575.296091245</c:v>
                </c:pt>
                <c:pt idx="2">
                  <c:v>4451261.9353389898</c:v>
                </c:pt>
                <c:pt idx="3">
                  <c:v>3095907.04930546</c:v>
                </c:pt>
                <c:pt idx="4">
                  <c:v>2321942.2485241671</c:v>
                </c:pt>
                <c:pt idx="5">
                  <c:v>1858842.0067261993</c:v>
                </c:pt>
                <c:pt idx="6">
                  <c:v>1550791.0132552925</c:v>
                </c:pt>
                <c:pt idx="7">
                  <c:v>1333792.0024947796</c:v>
                </c:pt>
                <c:pt idx="8">
                  <c:v>1206990.5034242184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7-4C3F-ACDF-28A7DC29B57A}"/>
            </c:ext>
          </c:extLst>
        </c:ser>
        <c:ser>
          <c:idx val="1"/>
          <c:order val="1"/>
          <c:tx>
            <c:v>Holt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Holt!$K$2:$K$1000</c:f>
              <c:numCache>
                <c:formatCode>#,##0.000000</c:formatCode>
                <c:ptCount val="999"/>
                <c:pt idx="1">
                  <c:v>1999867.3611111119</c:v>
                </c:pt>
                <c:pt idx="2">
                  <c:v>5321660.1808680519</c:v>
                </c:pt>
                <c:pt idx="3">
                  <c:v>4450546.6001312258</c:v>
                </c:pt>
                <c:pt idx="4">
                  <c:v>5185680.7911581183</c:v>
                </c:pt>
                <c:pt idx="5">
                  <c:v>7180592.3372154683</c:v>
                </c:pt>
                <c:pt idx="6">
                  <c:v>6690598.0922512338</c:v>
                </c:pt>
                <c:pt idx="7">
                  <c:v>7321506.8713775966</c:v>
                </c:pt>
                <c:pt idx="8">
                  <c:v>7236967.3006023718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7-4C3F-ACDF-28A7DC29B57A}"/>
            </c:ext>
          </c:extLst>
        </c:ser>
        <c:ser>
          <c:idx val="2"/>
          <c:order val="2"/>
          <c:tx>
            <c:v>SES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Smoothing'!$J$2:$J$1000</c:f>
              <c:numCache>
                <c:formatCode>#,##0.000000</c:formatCode>
                <c:ptCount val="999"/>
                <c:pt idx="1">
                  <c:v>20399901.390625</c:v>
                </c:pt>
                <c:pt idx="2">
                  <c:v>10720188.946015626</c:v>
                </c:pt>
                <c:pt idx="3">
                  <c:v>9183665.0110567715</c:v>
                </c:pt>
                <c:pt idx="4">
                  <c:v>8932978.2078107391</c:v>
                </c:pt>
                <c:pt idx="5">
                  <c:v>8775209.0783563592</c:v>
                </c:pt>
                <c:pt idx="6">
                  <c:v>9807001.2837492917</c:v>
                </c:pt>
                <c:pt idx="7">
                  <c:v>8499792.6440347228</c:v>
                </c:pt>
                <c:pt idx="8">
                  <c:v>11511054.232488155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47-4C3F-ACDF-28A7DC29B57A}"/>
            </c:ext>
          </c:extLst>
        </c:ser>
        <c:ser>
          <c:idx val="3"/>
          <c:order val="3"/>
          <c:tx>
            <c:v>Moving Average</c:v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'Moving Average'!$J$2:$J$1000</c:f>
              <c:numCache>
                <c:formatCode>General</c:formatCode>
                <c:ptCount val="999"/>
                <c:pt idx="4">
                  <c:v>4153444</c:v>
                </c:pt>
                <c:pt idx="5">
                  <c:v>10322582.5</c:v>
                </c:pt>
                <c:pt idx="6">
                  <c:v>7155938</c:v>
                </c:pt>
                <c:pt idx="7">
                  <c:v>11819823.5625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7-4C3F-ACDF-28A7DC29B57A}"/>
            </c:ext>
          </c:extLst>
        </c:ser>
        <c:ser>
          <c:idx val="4"/>
          <c:order val="4"/>
          <c:tx>
            <c:strRef>
              <c:f>'Static Method'!$K$1</c:f>
              <c:strCache>
                <c:ptCount val="1"/>
                <c:pt idx="0">
                  <c:v>Mean Square Error</c:v>
                </c:pt>
              </c:strCache>
            </c:strRef>
          </c:tx>
          <c:spPr>
            <a:ln cmpd="sng">
              <a:solidFill>
                <a:srgbClr val="A02B93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'Static Method'!$K$2:$K$1000</c:f>
              <c:numCache>
                <c:formatCode>0.00</c:formatCode>
                <c:ptCount val="999"/>
                <c:pt idx="0">
                  <c:v>3030821.3023869405</c:v>
                </c:pt>
                <c:pt idx="1">
                  <c:v>7388264.2563598119</c:v>
                </c:pt>
                <c:pt idx="2">
                  <c:v>6617060.5273100846</c:v>
                </c:pt>
                <c:pt idx="3">
                  <c:v>8746584.1721038688</c:v>
                </c:pt>
                <c:pt idx="4">
                  <c:v>7868125.1744856704</c:v>
                </c:pt>
                <c:pt idx="5">
                  <c:v>9559378.9695687871</c:v>
                </c:pt>
                <c:pt idx="6">
                  <c:v>9370970.4638275299</c:v>
                </c:pt>
                <c:pt idx="7">
                  <c:v>11435413.933378398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7-4C3F-ACDF-28A7DC29B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419883"/>
        <c:axId val="1546852029"/>
      </c:lineChart>
      <c:catAx>
        <c:axId val="2087419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6852029"/>
        <c:crosses val="autoZero"/>
        <c:auto val="1"/>
        <c:lblAlgn val="ctr"/>
        <c:lblOffset val="100"/>
        <c:noMultiLvlLbl val="1"/>
      </c:catAx>
      <c:valAx>
        <c:axId val="1546852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Mean Squared 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74198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Period, t and Mean Absolute Deviation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Winter's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Winter!$M$2:$M$1000</c:f>
              <c:numCache>
                <c:formatCode>General</c:formatCode>
                <c:ptCount val="999"/>
                <c:pt idx="1">
                  <c:v>1979.0339300000001</c:v>
                </c:pt>
                <c:pt idx="2">
                  <c:v>2105.9788513385729</c:v>
                </c:pt>
                <c:pt idx="3">
                  <c:v>1610.8667783821427</c:v>
                </c:pt>
                <c:pt idx="4">
                  <c:v>1209.8793571218612</c:v>
                </c:pt>
                <c:pt idx="5">
                  <c:v>983.9547031395756</c:v>
                </c:pt>
                <c:pt idx="6">
                  <c:v>837.06979310838085</c:v>
                </c:pt>
                <c:pt idx="7">
                  <c:v>742.96264597220238</c:v>
                </c:pt>
                <c:pt idx="8">
                  <c:v>720.73446026078204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E-4F49-BAAA-6040830CE41C}"/>
            </c:ext>
          </c:extLst>
        </c:ser>
        <c:ser>
          <c:idx val="1"/>
          <c:order val="1"/>
          <c:tx>
            <c:v>Holt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Holt!$L$2:$L$1000</c:f>
              <c:numCache>
                <c:formatCode>General</c:formatCode>
                <c:ptCount val="999"/>
                <c:pt idx="1">
                  <c:v>1414.166666666667</c:v>
                </c:pt>
                <c:pt idx="2">
                  <c:v>2177.0708333333328</c:v>
                </c:pt>
                <c:pt idx="3">
                  <c:v>1999.9463055555561</c:v>
                </c:pt>
                <c:pt idx="4">
                  <c:v>2179.6234035416664</c:v>
                </c:pt>
                <c:pt idx="5">
                  <c:v>2522.4217421783342</c:v>
                </c:pt>
                <c:pt idx="6">
                  <c:v>2445.2311583885694</c:v>
                </c:pt>
                <c:pt idx="7">
                  <c:v>2572.0139272482566</c:v>
                </c:pt>
                <c:pt idx="8">
                  <c:v>2572.7405192342467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E-4F49-BAAA-6040830CE41C}"/>
            </c:ext>
          </c:extLst>
        </c:ser>
        <c:ser>
          <c:idx val="2"/>
          <c:order val="2"/>
          <c:tx>
            <c:v>SES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Smoothing'!$K$2:$K$1000</c:f>
              <c:numCache>
                <c:formatCode>General</c:formatCode>
                <c:ptCount val="999"/>
                <c:pt idx="1">
                  <c:v>4516.625</c:v>
                </c:pt>
                <c:pt idx="2">
                  <c:v>2768.3312500000002</c:v>
                </c:pt>
                <c:pt idx="3">
                  <c:v>2669.5429166666668</c:v>
                </c:pt>
                <c:pt idx="4">
                  <c:v>2717.2147812500002</c:v>
                </c:pt>
                <c:pt idx="5">
                  <c:v>2744.5303575000003</c:v>
                </c:pt>
                <c:pt idx="6">
                  <c:v>2931.8730652083336</c:v>
                </c:pt>
                <c:pt idx="7">
                  <c:v>2628.7872068392858</c:v>
                </c:pt>
                <c:pt idx="8">
                  <c:v>3013.7831996140626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7E-4F49-BAAA-6040830CE41C}"/>
            </c:ext>
          </c:extLst>
        </c:ser>
        <c:ser>
          <c:idx val="3"/>
          <c:order val="3"/>
          <c:tx>
            <c:v>Moving Average</c:v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'Moving Average'!$K$2:$K$1000</c:f>
              <c:numCache>
                <c:formatCode>General</c:formatCode>
                <c:ptCount val="999"/>
                <c:pt idx="4">
                  <c:v>2038</c:v>
                </c:pt>
                <c:pt idx="5">
                  <c:v>3049.5</c:v>
                </c:pt>
                <c:pt idx="6">
                  <c:v>2335.3333333333335</c:v>
                </c:pt>
                <c:pt idx="7">
                  <c:v>3021.625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7E-4F49-BAAA-6040830CE41C}"/>
            </c:ext>
          </c:extLst>
        </c:ser>
        <c:ser>
          <c:idx val="4"/>
          <c:order val="4"/>
          <c:tx>
            <c:v>Static</c:v>
          </c:tx>
          <c:spPr>
            <a:ln cmpd="sng">
              <a:solidFill>
                <a:srgbClr val="A02B93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'Static Method'!$M$2:$M$1000</c:f>
              <c:numCache>
                <c:formatCode>0.00</c:formatCode>
                <c:ptCount val="999"/>
                <c:pt idx="0">
                  <c:v>1740.9254155152485</c:v>
                </c:pt>
                <c:pt idx="1">
                  <c:v>2584.0632453926855</c:v>
                </c:pt>
                <c:pt idx="2">
                  <c:v>2473.6085179853926</c:v>
                </c:pt>
                <c:pt idx="3">
                  <c:v>2827.8045553366519</c:v>
                </c:pt>
                <c:pt idx="4">
                  <c:v>2679.5823165254578</c:v>
                </c:pt>
                <c:pt idx="5">
                  <c:v>2940.3993328555493</c:v>
                </c:pt>
                <c:pt idx="6">
                  <c:v>2930.432355784053</c:v>
                </c:pt>
                <c:pt idx="7">
                  <c:v>3200.1132538931515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7E-4F49-BAAA-6040830CE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329038"/>
        <c:axId val="264997353"/>
      </c:lineChart>
      <c:catAx>
        <c:axId val="1889329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4997353"/>
        <c:crosses val="autoZero"/>
        <c:auto val="1"/>
        <c:lblAlgn val="ctr"/>
        <c:lblOffset val="100"/>
        <c:noMultiLvlLbl val="1"/>
      </c:catAx>
      <c:valAx>
        <c:axId val="264997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93290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Mean Absolute Percent Error vs. Period, 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Winter's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Winter!$P$2:$P$1000</c:f>
              <c:numCache>
                <c:formatCode>0.00%</c:formatCode>
                <c:ptCount val="999"/>
                <c:pt idx="1">
                  <c:v>0.38911402477388912</c:v>
                </c:pt>
                <c:pt idx="2">
                  <c:v>0.30432614878833797</c:v>
                </c:pt>
                <c:pt idx="3">
                  <c:v>0.23339300311344058</c:v>
                </c:pt>
                <c:pt idx="4">
                  <c:v>0.17519048580341468</c:v>
                </c:pt>
                <c:pt idx="5">
                  <c:v>0.14264558799689245</c:v>
                </c:pt>
                <c:pt idx="6">
                  <c:v>0.12020006433983636</c:v>
                </c:pt>
                <c:pt idx="7">
                  <c:v>0.10599661584407757</c:v>
                </c:pt>
                <c:pt idx="8">
                  <c:v>9.744993115004047E-2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A-4917-A80F-97937F38351D}"/>
            </c:ext>
          </c:extLst>
        </c:ser>
        <c:ser>
          <c:idx val="1"/>
          <c:order val="1"/>
          <c:tx>
            <c:v>Holt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Holt!$O$2:$O$1000</c:f>
              <c:numCache>
                <c:formatCode>0.00%</c:formatCode>
                <c:ptCount val="999"/>
                <c:pt idx="1">
                  <c:v>0.2780508585659982</c:v>
                </c:pt>
                <c:pt idx="2">
                  <c:v>0.28355276189532819</c:v>
                </c:pt>
                <c:pt idx="3">
                  <c:v>0.2699326454713879</c:v>
                </c:pt>
                <c:pt idx="4">
                  <c:v>0.25972773072203065</c:v>
                </c:pt>
                <c:pt idx="5">
                  <c:v>0.32873947245351781</c:v>
                </c:pt>
                <c:pt idx="6">
                  <c:v>0.30060688386582463</c:v>
                </c:pt>
                <c:pt idx="7">
                  <c:v>0.31313333409444943</c:v>
                </c:pt>
                <c:pt idx="8">
                  <c:v>0.29544352359334641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A-4917-A80F-97937F38351D}"/>
            </c:ext>
          </c:extLst>
        </c:ser>
        <c:ser>
          <c:idx val="2"/>
          <c:order val="2"/>
          <c:tx>
            <c:v>SES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Smoothing'!$N$2:$N$1000</c:f>
              <c:numCache>
                <c:formatCode>0.00%</c:formatCode>
                <c:ptCount val="999"/>
                <c:pt idx="1">
                  <c:v>0.88805053086905228</c:v>
                </c:pt>
                <c:pt idx="2">
                  <c:v>0.49416967109768611</c:v>
                </c:pt>
                <c:pt idx="3">
                  <c:v>0.45096078894100272</c:v>
                </c:pt>
                <c:pt idx="4">
                  <c:v>0.39848163955254118</c:v>
                </c:pt>
                <c:pt idx="5">
                  <c:v>0.40743994545688234</c:v>
                </c:pt>
                <c:pt idx="6">
                  <c:v>0.38961207886779031</c:v>
                </c:pt>
                <c:pt idx="7">
                  <c:v>0.34743953819274748</c:v>
                </c:pt>
                <c:pt idx="8">
                  <c:v>0.35151604646320422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BA-4917-A80F-97937F38351D}"/>
            </c:ext>
          </c:extLst>
        </c:ser>
        <c:ser>
          <c:idx val="3"/>
          <c:order val="3"/>
          <c:tx>
            <c:v>Moving Average</c:v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'Moving Average'!$N$2:$N$1000</c:f>
              <c:numCache>
                <c:formatCode>General</c:formatCode>
                <c:ptCount val="999"/>
                <c:pt idx="4" formatCode="0.00%">
                  <c:v>0.3165579372475924</c:v>
                </c:pt>
                <c:pt idx="5" formatCode="0.00%">
                  <c:v>0.31598770648787389</c:v>
                </c:pt>
                <c:pt idx="6" formatCode="0.00%">
                  <c:v>0.24588313991109725</c:v>
                </c:pt>
                <c:pt idx="7" formatCode="0.00%">
                  <c:v>0.26896897566429956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BA-4917-A80F-97937F38351D}"/>
            </c:ext>
          </c:extLst>
        </c:ser>
        <c:ser>
          <c:idx val="4"/>
          <c:order val="4"/>
          <c:tx>
            <c:v>Static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'Static Method'!$P$2:$P$1000</c:f>
              <c:numCache>
                <c:formatCode>0.00%</c:formatCode>
                <c:ptCount val="999"/>
                <c:pt idx="0">
                  <c:v>0.3422975649853025</c:v>
                </c:pt>
                <c:pt idx="1">
                  <c:v>0.33962784429926429</c:v>
                </c:pt>
                <c:pt idx="2">
                  <c:v>0.33715439647826911</c:v>
                </c:pt>
                <c:pt idx="3">
                  <c:v>0.33483092181914409</c:v>
                </c:pt>
                <c:pt idx="4">
                  <c:v>0.33268901087192548</c:v>
                </c:pt>
                <c:pt idx="5">
                  <c:v>0.33218562445807387</c:v>
                </c:pt>
                <c:pt idx="6">
                  <c:v>0.33250987469744114</c:v>
                </c:pt>
                <c:pt idx="7">
                  <c:v>0.33328586092361268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BA-4917-A80F-97937F383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9803521"/>
        <c:axId val="625268920"/>
      </c:barChart>
      <c:catAx>
        <c:axId val="21398035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5268920"/>
        <c:crosses val="autoZero"/>
        <c:auto val="1"/>
        <c:lblAlgn val="ctr"/>
        <c:lblOffset val="100"/>
        <c:noMultiLvlLbl val="1"/>
      </c:catAx>
      <c:valAx>
        <c:axId val="6252689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Mean Absolute Percent 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9803521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Period, t vs. Tracking Signal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Winter's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Winter!$R$2:$R$1000</c:f>
              <c:numCache>
                <c:formatCode>General</c:formatCode>
                <c:ptCount val="999"/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-3.9885656478056264</c:v>
                </c:pt>
                <c:pt idx="5">
                  <c:v>-4.822810582086146</c:v>
                </c:pt>
                <c:pt idx="6">
                  <c:v>-5.5464693026396663</c:v>
                </c:pt>
                <c:pt idx="7">
                  <c:v>-6.0089994735138736</c:v>
                </c:pt>
                <c:pt idx="8">
                  <c:v>-5.4102102829878751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6-48C2-B195-D2183B6638D8}"/>
            </c:ext>
          </c:extLst>
        </c:ser>
        <c:ser>
          <c:idx val="1"/>
          <c:order val="1"/>
          <c:tx>
            <c:v>Holt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Holt!$Q$2:$Q$1000</c:f>
              <c:numCache>
                <c:formatCode>General</c:formatCode>
                <c:ptCount val="999"/>
                <c:pt idx="1">
                  <c:v>1</c:v>
                </c:pt>
                <c:pt idx="2">
                  <c:v>-0.70085378480641936</c:v>
                </c:pt>
                <c:pt idx="3">
                  <c:v>5.9946067718737034E-2</c:v>
                </c:pt>
                <c:pt idx="4">
                  <c:v>-1.1923003655634248</c:v>
                </c:pt>
                <c:pt idx="5">
                  <c:v>0.51333577341173053</c:v>
                </c:pt>
                <c:pt idx="6">
                  <c:v>-0.31262031032347531</c:v>
                </c:pt>
                <c:pt idx="7">
                  <c:v>0.99854887629090849</c:v>
                </c:pt>
                <c:pt idx="8">
                  <c:v>-3.7100695567637526E-3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56-48C2-B195-D2183B6638D8}"/>
            </c:ext>
          </c:extLst>
        </c:ser>
        <c:ser>
          <c:idx val="2"/>
          <c:order val="2"/>
          <c:tx>
            <c:v>SES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Smoothing'!$P$2:$P$1000</c:f>
              <c:numCache>
                <c:formatCode>General</c:formatCode>
                <c:ptCount val="999"/>
                <c:pt idx="1">
                  <c:v>1</c:v>
                </c:pt>
                <c:pt idx="2">
                  <c:v>1.2630668746740477</c:v>
                </c:pt>
                <c:pt idx="3">
                  <c:v>2.2357961405065749</c:v>
                </c:pt>
                <c:pt idx="4">
                  <c:v>1.1439373127398034</c:v>
                </c:pt>
                <c:pt idx="5">
                  <c:v>2.1723629404234046</c:v>
                </c:pt>
                <c:pt idx="6">
                  <c:v>0.71405868780381043</c:v>
                </c:pt>
                <c:pt idx="7">
                  <c:v>1.1046164112561907</c:v>
                </c:pt>
                <c:pt idx="8">
                  <c:v>-0.93070850584796505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56-48C2-B195-D2183B6638D8}"/>
            </c:ext>
          </c:extLst>
        </c:ser>
        <c:ser>
          <c:idx val="3"/>
          <c:order val="3"/>
          <c:tx>
            <c:v>Moving Average</c:v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'Moving Average'!$P$2:$P$1000</c:f>
              <c:numCache>
                <c:formatCode>General</c:formatCode>
                <c:ptCount val="999"/>
                <c:pt idx="4">
                  <c:v>1</c:v>
                </c:pt>
                <c:pt idx="5">
                  <c:v>-0.66338744056402688</c:v>
                </c:pt>
                <c:pt idx="6">
                  <c:v>-0.47787610619469023</c:v>
                </c:pt>
                <c:pt idx="7">
                  <c:v>-2.0507177429363339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56-48C2-B195-D2183B6638D8}"/>
            </c:ext>
          </c:extLst>
        </c:ser>
        <c:ser>
          <c:idx val="4"/>
          <c:order val="4"/>
          <c:tx>
            <c:v>Static</c:v>
          </c:tx>
          <c:spPr>
            <a:ln cmpd="sng">
              <a:solidFill>
                <a:srgbClr val="A02B93"/>
              </a:solidFill>
            </a:ln>
          </c:spPr>
          <c:marker>
            <c:symbol val="none"/>
          </c:marker>
          <c:cat>
            <c:numRef>
              <c:f>Winter!$C$2:$C$1000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'Static Method'!$R$2:$R$1000</c:f>
              <c:numCache>
                <c:formatCode>0.00</c:formatCode>
                <c:ptCount val="999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-6.9999999999999991</c:v>
                </c:pt>
                <c:pt idx="7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56-48C2-B195-D2183B663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407573"/>
        <c:axId val="6973583"/>
      </c:lineChart>
      <c:catAx>
        <c:axId val="1734407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73583"/>
        <c:crosses val="autoZero"/>
        <c:auto val="1"/>
        <c:lblAlgn val="ctr"/>
        <c:lblOffset val="100"/>
        <c:noMultiLvlLbl val="1"/>
      </c:catAx>
      <c:valAx>
        <c:axId val="6973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44075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Demand vs.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Demand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Winter!$C$2:$C$18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Winter!$D$2:$D$18</c:f>
              <c:numCache>
                <c:formatCode>#,##0</c:formatCode>
                <c:ptCount val="17"/>
                <c:pt idx="1">
                  <c:v>5086</c:v>
                </c:pt>
                <c:pt idx="2">
                  <c:v>10171</c:v>
                </c:pt>
                <c:pt idx="3">
                  <c:v>6781</c:v>
                </c:pt>
                <c:pt idx="4">
                  <c:v>11866</c:v>
                </c:pt>
                <c:pt idx="5">
                  <c:v>6438</c:v>
                </c:pt>
                <c:pt idx="6">
                  <c:v>12875</c:v>
                </c:pt>
                <c:pt idx="7">
                  <c:v>8583</c:v>
                </c:pt>
                <c:pt idx="8">
                  <c:v>15021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F-44E4-A42F-40AF3A73E03B}"/>
            </c:ext>
          </c:extLst>
        </c:ser>
        <c:ser>
          <c:idx val="1"/>
          <c:order val="1"/>
          <c:tx>
            <c:v>Forecasted Demand (Winter's model)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Winter!$C$2:$C$18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Winter!$H$2:$H$18</c:f>
              <c:numCache>
                <c:formatCode>#,##0</c:formatCode>
                <c:ptCount val="17"/>
                <c:pt idx="1">
                  <c:v>3106.9660699999999</c:v>
                </c:pt>
                <c:pt idx="2">
                  <c:v>7938.0762273228547</c:v>
                </c:pt>
                <c:pt idx="3">
                  <c:v>6160.357367530718</c:v>
                </c:pt>
                <c:pt idx="4">
                  <c:v>11872.917093341017</c:v>
                </c:pt>
                <c:pt idx="5">
                  <c:v>6518.2560872104332</c:v>
                </c:pt>
                <c:pt idx="6">
                  <c:v>12977.645242952407</c:v>
                </c:pt>
                <c:pt idx="7">
                  <c:v>8761.319763155132</c:v>
                </c:pt>
                <c:pt idx="8">
                  <c:v>15586.137160280839</c:v>
                </c:pt>
                <c:pt idx="9">
                  <c:v>8260.8289247197299</c:v>
                </c:pt>
                <c:pt idx="10">
                  <c:v>16215.661914774251</c:v>
                </c:pt>
                <c:pt idx="11">
                  <c:v>10767.267227513945</c:v>
                </c:pt>
                <c:pt idx="12">
                  <c:v>18944.319878203787</c:v>
                </c:pt>
                <c:pt idx="13">
                  <c:v>10119.138892682335</c:v>
                </c:pt>
                <c:pt idx="14">
                  <c:v>19669.223242946453</c:v>
                </c:pt>
                <c:pt idx="15">
                  <c:v>12944.52022549383</c:v>
                </c:pt>
                <c:pt idx="16">
                  <c:v>22590.722547869966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F-44E4-A42F-40AF3A73E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01773"/>
        <c:axId val="1947576351"/>
      </c:lineChart>
      <c:catAx>
        <c:axId val="138201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7576351"/>
        <c:crosses val="autoZero"/>
        <c:auto val="1"/>
        <c:lblAlgn val="ctr"/>
        <c:lblOffset val="100"/>
        <c:noMultiLvlLbl val="1"/>
      </c:catAx>
      <c:valAx>
        <c:axId val="1947576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Demand (units)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2017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Mean Square Error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'Static Method'!$K$1</c:f>
              <c:strCache>
                <c:ptCount val="1"/>
                <c:pt idx="0">
                  <c:v>Mean Square Error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'Static Method'!$C$2:$C$1000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20">
                  <c:v>intercept:</c:v>
                </c:pt>
                <c:pt idx="21">
                  <c:v>x var:</c:v>
                </c:pt>
              </c:strCache>
            </c:strRef>
          </c:cat>
          <c:val>
            <c:numRef>
              <c:f>'Static Method'!$K$2:$K$1000</c:f>
              <c:numCache>
                <c:formatCode>0.00</c:formatCode>
                <c:ptCount val="999"/>
                <c:pt idx="0">
                  <c:v>3030821.3023869405</c:v>
                </c:pt>
                <c:pt idx="1">
                  <c:v>7388264.2563598119</c:v>
                </c:pt>
                <c:pt idx="2">
                  <c:v>6617060.5273100846</c:v>
                </c:pt>
                <c:pt idx="3">
                  <c:v>8746584.1721038688</c:v>
                </c:pt>
                <c:pt idx="4">
                  <c:v>7868125.1744856704</c:v>
                </c:pt>
                <c:pt idx="5">
                  <c:v>9559378.9695687871</c:v>
                </c:pt>
                <c:pt idx="6">
                  <c:v>9370970.4638275299</c:v>
                </c:pt>
                <c:pt idx="7">
                  <c:v>11435413.933378398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2-4E2F-AAC6-26937A8C1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457532"/>
        <c:axId val="450364952"/>
      </c:lineChart>
      <c:catAx>
        <c:axId val="214457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0364952"/>
        <c:crosses val="autoZero"/>
        <c:auto val="1"/>
        <c:lblAlgn val="ctr"/>
        <c:lblOffset val="100"/>
        <c:noMultiLvlLbl val="1"/>
      </c:catAx>
      <c:valAx>
        <c:axId val="450364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Mean Square Error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4575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Mean Absolute Deviation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'Static Method'!$M$1</c:f>
              <c:strCache>
                <c:ptCount val="1"/>
                <c:pt idx="0">
                  <c:v>Mean Absolute Deviation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'Static Method'!$C$2:$C$1000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20">
                  <c:v>intercept:</c:v>
                </c:pt>
                <c:pt idx="21">
                  <c:v>x var:</c:v>
                </c:pt>
              </c:strCache>
            </c:strRef>
          </c:cat>
          <c:val>
            <c:numRef>
              <c:f>'Static Method'!$M$2:$M$1000</c:f>
              <c:numCache>
                <c:formatCode>0.00</c:formatCode>
                <c:ptCount val="999"/>
                <c:pt idx="0">
                  <c:v>1740.9254155152485</c:v>
                </c:pt>
                <c:pt idx="1">
                  <c:v>2584.0632453926855</c:v>
                </c:pt>
                <c:pt idx="2">
                  <c:v>2473.6085179853926</c:v>
                </c:pt>
                <c:pt idx="3">
                  <c:v>2827.8045553366519</c:v>
                </c:pt>
                <c:pt idx="4">
                  <c:v>2679.5823165254578</c:v>
                </c:pt>
                <c:pt idx="5">
                  <c:v>2940.3993328555493</c:v>
                </c:pt>
                <c:pt idx="6">
                  <c:v>2930.432355784053</c:v>
                </c:pt>
                <c:pt idx="7">
                  <c:v>3200.1132538931515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A-4B2F-AD60-66E959A2B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062828"/>
        <c:axId val="1343082501"/>
      </c:lineChart>
      <c:catAx>
        <c:axId val="1964062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3082501"/>
        <c:crosses val="autoZero"/>
        <c:auto val="1"/>
        <c:lblAlgn val="ctr"/>
        <c:lblOffset val="100"/>
        <c:noMultiLvlLbl val="1"/>
      </c:catAx>
      <c:valAx>
        <c:axId val="1343082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Mean Absolute Deviation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40628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Mean Absolute Percent Error 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'Static Method'!$P$1</c:f>
              <c:strCache>
                <c:ptCount val="1"/>
                <c:pt idx="0">
                  <c:v>Mean Absolute Percent Error 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'Static Method'!$C$2:$C$1000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20">
                  <c:v>intercept:</c:v>
                </c:pt>
                <c:pt idx="21">
                  <c:v>x var:</c:v>
                </c:pt>
              </c:strCache>
            </c:strRef>
          </c:cat>
          <c:val>
            <c:numRef>
              <c:f>'Static Method'!$P$2:$P$1000</c:f>
              <c:numCache>
                <c:formatCode>0.00%</c:formatCode>
                <c:ptCount val="999"/>
                <c:pt idx="0">
                  <c:v>0.3422975649853025</c:v>
                </c:pt>
                <c:pt idx="1">
                  <c:v>0.33962784429926429</c:v>
                </c:pt>
                <c:pt idx="2">
                  <c:v>0.33715439647826911</c:v>
                </c:pt>
                <c:pt idx="3">
                  <c:v>0.33483092181914409</c:v>
                </c:pt>
                <c:pt idx="4">
                  <c:v>0.33268901087192548</c:v>
                </c:pt>
                <c:pt idx="5">
                  <c:v>0.33218562445807387</c:v>
                </c:pt>
                <c:pt idx="6">
                  <c:v>0.33250987469744114</c:v>
                </c:pt>
                <c:pt idx="7">
                  <c:v>0.33328586092361268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6-40A6-B3D0-8FC222B71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79832"/>
        <c:axId val="170504662"/>
      </c:lineChart>
      <c:catAx>
        <c:axId val="41979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504662"/>
        <c:crosses val="autoZero"/>
        <c:auto val="1"/>
        <c:lblAlgn val="ctr"/>
        <c:lblOffset val="100"/>
        <c:noMultiLvlLbl val="1"/>
      </c:catAx>
      <c:valAx>
        <c:axId val="170504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Mean Absolute Percent Error 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9798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Period, t vs. Tracking Signal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'Static Method'!$R$1</c:f>
              <c:strCache>
                <c:ptCount val="1"/>
                <c:pt idx="0">
                  <c:v>Tracking Signal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'Static Method'!$C$2:$C$1000</c:f>
              <c:strCach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20">
                  <c:v>intercept:</c:v>
                </c:pt>
                <c:pt idx="21">
                  <c:v>x var:</c:v>
                </c:pt>
              </c:strCache>
            </c:strRef>
          </c:cat>
          <c:val>
            <c:numRef>
              <c:f>'Static Method'!$R$2:$R$1000</c:f>
              <c:numCache>
                <c:formatCode>0.00</c:formatCode>
                <c:ptCount val="999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-6.9999999999999991</c:v>
                </c:pt>
                <c:pt idx="7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BA-4D35-A53A-E476D0C07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5622096"/>
        <c:axId val="1469593687"/>
      </c:lineChart>
      <c:catAx>
        <c:axId val="1035622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9593687"/>
        <c:crosses val="autoZero"/>
        <c:auto val="1"/>
        <c:lblAlgn val="ctr"/>
        <c:lblOffset val="100"/>
        <c:noMultiLvlLbl val="1"/>
      </c:catAx>
      <c:valAx>
        <c:axId val="1469593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56220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Demand vs.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Demand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'Static Method'!$C$2:$C$17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'Static Method'!$D$2:$D$9</c:f>
              <c:numCache>
                <c:formatCode>#,##0</c:formatCode>
                <c:ptCount val="8"/>
                <c:pt idx="0">
                  <c:v>5086</c:v>
                </c:pt>
                <c:pt idx="1">
                  <c:v>10171</c:v>
                </c:pt>
                <c:pt idx="2">
                  <c:v>6781</c:v>
                </c:pt>
                <c:pt idx="3">
                  <c:v>11866</c:v>
                </c:pt>
                <c:pt idx="4">
                  <c:v>6438</c:v>
                </c:pt>
                <c:pt idx="5">
                  <c:v>12875</c:v>
                </c:pt>
                <c:pt idx="6">
                  <c:v>8583</c:v>
                </c:pt>
                <c:pt idx="7">
                  <c:v>15021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6-4261-A496-32FC07EF1357}"/>
            </c:ext>
          </c:extLst>
        </c:ser>
        <c:ser>
          <c:idx val="1"/>
          <c:order val="1"/>
          <c:tx>
            <c:v>Forecast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'Static Method'!$C$2:$C$17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'Static Method'!$I$2:$I$17</c:f>
              <c:numCache>
                <c:formatCode>0.00</c:formatCode>
                <c:ptCount val="16"/>
                <c:pt idx="0">
                  <c:v>3345.0745844847515</c:v>
                </c:pt>
                <c:pt idx="1">
                  <c:v>6743.7989247298774</c:v>
                </c:pt>
                <c:pt idx="2">
                  <c:v>4528.3009368291932</c:v>
                </c:pt>
                <c:pt idx="3">
                  <c:v>7975.6073326095702</c:v>
                </c:pt>
                <c:pt idx="4">
                  <c:v>4351.3066387193176</c:v>
                </c:pt>
                <c:pt idx="5">
                  <c:v>8630.5155854939967</c:v>
                </c:pt>
                <c:pt idx="6">
                  <c:v>5712.3695066449263</c:v>
                </c:pt>
                <c:pt idx="7">
                  <c:v>9933.1204593431576</c:v>
                </c:pt>
                <c:pt idx="8">
                  <c:v>5357.5386929538854</c:v>
                </c:pt>
                <c:pt idx="9">
                  <c:v>10517.232246258114</c:v>
                </c:pt>
                <c:pt idx="10">
                  <c:v>6896.4380764606594</c:v>
                </c:pt>
                <c:pt idx="11">
                  <c:v>11890.633586076745</c:v>
                </c:pt>
                <c:pt idx="12">
                  <c:v>6363.7707471884505</c:v>
                </c:pt>
                <c:pt idx="13">
                  <c:v>12403.948907022235</c:v>
                </c:pt>
                <c:pt idx="14">
                  <c:v>8080.5066462763916</c:v>
                </c:pt>
                <c:pt idx="15">
                  <c:v>13848.146712810332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6-4261-A496-32FC07EF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027675"/>
        <c:axId val="495890937"/>
      </c:lineChart>
      <c:catAx>
        <c:axId val="809027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5890937"/>
        <c:crosses val="autoZero"/>
        <c:auto val="1"/>
        <c:lblAlgn val="ctr"/>
        <c:lblOffset val="100"/>
        <c:noMultiLvlLbl val="1"/>
      </c:catAx>
      <c:valAx>
        <c:axId val="495890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0276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Period, t vs. Demand vs.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'Moving Average'!$D$1</c:f>
              <c:strCache>
                <c:ptCount val="1"/>
                <c:pt idx="0">
                  <c:v>Demand, Dt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'Moving Average'!$C$2:$C$1000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'Moving Average'!$D$2:$D$1000</c:f>
              <c:numCache>
                <c:formatCode>#,##0</c:formatCode>
                <c:ptCount val="999"/>
                <c:pt idx="0">
                  <c:v>5086</c:v>
                </c:pt>
                <c:pt idx="1">
                  <c:v>10171</c:v>
                </c:pt>
                <c:pt idx="2">
                  <c:v>6781</c:v>
                </c:pt>
                <c:pt idx="3">
                  <c:v>11866</c:v>
                </c:pt>
                <c:pt idx="4">
                  <c:v>6438</c:v>
                </c:pt>
                <c:pt idx="5">
                  <c:v>12875</c:v>
                </c:pt>
                <c:pt idx="6">
                  <c:v>8583</c:v>
                </c:pt>
                <c:pt idx="7">
                  <c:v>15021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6-4211-A21B-CC54FD87A06C}"/>
            </c:ext>
          </c:extLst>
        </c:ser>
        <c:ser>
          <c:idx val="1"/>
          <c:order val="1"/>
          <c:tx>
            <c:strRef>
              <c:f>'Moving Average'!$F$1</c:f>
              <c:strCache>
                <c:ptCount val="1"/>
                <c:pt idx="0">
                  <c:v>Forecast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'Moving Average'!$C$2:$C$1000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'Moving Average'!$F$2:$F$1000</c:f>
              <c:numCache>
                <c:formatCode>General</c:formatCode>
                <c:ptCount val="999"/>
                <c:pt idx="4" formatCode="#,##0">
                  <c:v>8476</c:v>
                </c:pt>
                <c:pt idx="5" formatCode="#,##0">
                  <c:v>8814</c:v>
                </c:pt>
                <c:pt idx="6" formatCode="#,##0">
                  <c:v>9490</c:v>
                </c:pt>
                <c:pt idx="7" formatCode="#,##0">
                  <c:v>9940.5</c:v>
                </c:pt>
                <c:pt idx="8" formatCode="#,##0">
                  <c:v>10729.25</c:v>
                </c:pt>
                <c:pt idx="9" formatCode="#,##0">
                  <c:v>10729.25</c:v>
                </c:pt>
                <c:pt idx="10" formatCode="#,##0">
                  <c:v>10729.25</c:v>
                </c:pt>
                <c:pt idx="11" formatCode="#,##0">
                  <c:v>10729.25</c:v>
                </c:pt>
                <c:pt idx="12" formatCode="#,##0">
                  <c:v>10729.25</c:v>
                </c:pt>
                <c:pt idx="13" formatCode="#,##0">
                  <c:v>10729.25</c:v>
                </c:pt>
                <c:pt idx="14" formatCode="#,##0">
                  <c:v>10729.25</c:v>
                </c:pt>
                <c:pt idx="15" formatCode="#,##0">
                  <c:v>10729.25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6-4211-A21B-CC54FD87A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627788"/>
        <c:axId val="1441488638"/>
      </c:lineChart>
      <c:catAx>
        <c:axId val="1168627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1488638"/>
        <c:crosses val="autoZero"/>
        <c:auto val="1"/>
        <c:lblAlgn val="ctr"/>
        <c:lblOffset val="100"/>
        <c:noMultiLvlLbl val="1"/>
      </c:catAx>
      <c:valAx>
        <c:axId val="1441488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86277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Period, t and Mean Squared Error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Average'!$J$1</c:f>
              <c:strCache>
                <c:ptCount val="1"/>
                <c:pt idx="0">
                  <c:v>Mean Squared Error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'Moving Average'!$C$2:$C$1000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'Moving Average'!$J$2:$J$1000</c:f>
              <c:numCache>
                <c:formatCode>General</c:formatCode>
                <c:ptCount val="999"/>
                <c:pt idx="4">
                  <c:v>4153444</c:v>
                </c:pt>
                <c:pt idx="5">
                  <c:v>10322582.5</c:v>
                </c:pt>
                <c:pt idx="6">
                  <c:v>7155938</c:v>
                </c:pt>
                <c:pt idx="7">
                  <c:v>11819823.5625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6-40C0-8139-D2D7B924B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724704"/>
        <c:axId val="1265022058"/>
      </c:lineChart>
      <c:catAx>
        <c:axId val="52672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5022058"/>
        <c:crosses val="autoZero"/>
        <c:auto val="1"/>
        <c:lblAlgn val="ctr"/>
        <c:lblOffset val="100"/>
        <c:noMultiLvlLbl val="1"/>
      </c:catAx>
      <c:valAx>
        <c:axId val="1265022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67247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Period, t and Mean Absolute Deviation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Average'!$K$1</c:f>
              <c:strCache>
                <c:ptCount val="1"/>
                <c:pt idx="0">
                  <c:v>Mean Absolute Deviation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'Moving Average'!$C$2:$C$1000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'Moving Average'!$K$2:$K$1000</c:f>
              <c:numCache>
                <c:formatCode>General</c:formatCode>
                <c:ptCount val="999"/>
                <c:pt idx="4">
                  <c:v>2038</c:v>
                </c:pt>
                <c:pt idx="5">
                  <c:v>3049.5</c:v>
                </c:pt>
                <c:pt idx="6">
                  <c:v>2335.3333333333335</c:v>
                </c:pt>
                <c:pt idx="7">
                  <c:v>3021.625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F-4F3B-83BB-7D5DBC6B8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7328331"/>
        <c:axId val="277746859"/>
      </c:lineChart>
      <c:catAx>
        <c:axId val="1957328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7746859"/>
        <c:crosses val="autoZero"/>
        <c:auto val="1"/>
        <c:lblAlgn val="ctr"/>
        <c:lblOffset val="100"/>
        <c:noMultiLvlLbl val="1"/>
      </c:catAx>
      <c:valAx>
        <c:axId val="277746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73283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Mean Absolute Percent Error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Average'!$N$1</c:f>
              <c:strCache>
                <c:ptCount val="1"/>
                <c:pt idx="0">
                  <c:v>Mean Absolute Percent Error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'Moving Average'!$C$2:$C$1000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'Moving Average'!$N$2:$N$1000</c:f>
              <c:numCache>
                <c:formatCode>General</c:formatCode>
                <c:ptCount val="999"/>
                <c:pt idx="4" formatCode="0.00%">
                  <c:v>0.3165579372475924</c:v>
                </c:pt>
                <c:pt idx="5" formatCode="0.00%">
                  <c:v>0.31598770648787389</c:v>
                </c:pt>
                <c:pt idx="6" formatCode="0.00%">
                  <c:v>0.24588313991109725</c:v>
                </c:pt>
                <c:pt idx="7" formatCode="0.00%">
                  <c:v>0.26896897566429956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6-493C-BB3A-C325BC6DC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544251"/>
        <c:axId val="1574049979"/>
      </c:lineChart>
      <c:catAx>
        <c:axId val="1129544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4049979"/>
        <c:crosses val="autoZero"/>
        <c:auto val="1"/>
        <c:lblAlgn val="ctr"/>
        <c:lblOffset val="100"/>
        <c:noMultiLvlLbl val="1"/>
      </c:catAx>
      <c:valAx>
        <c:axId val="1574049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Mean Absolute Percent 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442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Period, t and Tracking  Signal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Average'!$P$1</c:f>
              <c:strCache>
                <c:ptCount val="1"/>
                <c:pt idx="0">
                  <c:v>Tracking  Signal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'Moving Average'!$C$2:$C$1000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'Moving Average'!$P$2:$P$1000</c:f>
              <c:numCache>
                <c:formatCode>General</c:formatCode>
                <c:ptCount val="999"/>
                <c:pt idx="4">
                  <c:v>1</c:v>
                </c:pt>
                <c:pt idx="5">
                  <c:v>-0.66338744056402688</c:v>
                </c:pt>
                <c:pt idx="6">
                  <c:v>-0.47787610619469023</c:v>
                </c:pt>
                <c:pt idx="7">
                  <c:v>-2.0507177429363339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0-4D32-AD74-CC62F3AC8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135177"/>
        <c:axId val="509535433"/>
      </c:lineChart>
      <c:catAx>
        <c:axId val="323135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9535433"/>
        <c:crosses val="autoZero"/>
        <c:auto val="1"/>
        <c:lblAlgn val="ctr"/>
        <c:lblOffset val="100"/>
        <c:noMultiLvlLbl val="1"/>
      </c:catAx>
      <c:valAx>
        <c:axId val="509535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31351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 vs.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'Simple Exponential Smoothing'!$D$1</c:f>
              <c:strCache>
                <c:ptCount val="1"/>
                <c:pt idx="0">
                  <c:v>Demand, Dt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'Simple Exponential Smoothing'!$C$2:$C$1000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Smoothing'!$D$2:$D$1000</c:f>
              <c:numCache>
                <c:formatCode>#,##0</c:formatCode>
                <c:ptCount val="999"/>
                <c:pt idx="1">
                  <c:v>5086</c:v>
                </c:pt>
                <c:pt idx="2">
                  <c:v>10171</c:v>
                </c:pt>
                <c:pt idx="3">
                  <c:v>6781</c:v>
                </c:pt>
                <c:pt idx="4">
                  <c:v>11866</c:v>
                </c:pt>
                <c:pt idx="5">
                  <c:v>6438</c:v>
                </c:pt>
                <c:pt idx="6">
                  <c:v>12875</c:v>
                </c:pt>
                <c:pt idx="7">
                  <c:v>8583</c:v>
                </c:pt>
                <c:pt idx="8">
                  <c:v>15021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6-4E35-B2CE-EAB15D639946}"/>
            </c:ext>
          </c:extLst>
        </c:ser>
        <c:ser>
          <c:idx val="1"/>
          <c:order val="1"/>
          <c:tx>
            <c:strRef>
              <c:f>'Simple Exponential Smoothing'!$F$1</c:f>
              <c:strCache>
                <c:ptCount val="1"/>
                <c:pt idx="0">
                  <c:v>Forecast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'Simple Exponential Smoothing'!$C$2:$C$1000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Smoothing'!$F$2:$F$1000</c:f>
              <c:numCache>
                <c:formatCode>#,##0</c:formatCode>
                <c:ptCount val="999"/>
                <c:pt idx="1">
                  <c:v>9602.625</c:v>
                </c:pt>
                <c:pt idx="2">
                  <c:v>9150.9624999999996</c:v>
                </c:pt>
                <c:pt idx="3">
                  <c:v>9252.9662499999995</c:v>
                </c:pt>
                <c:pt idx="4">
                  <c:v>9005.769624999999</c:v>
                </c:pt>
                <c:pt idx="5">
                  <c:v>9291.7926625</c:v>
                </c:pt>
                <c:pt idx="6">
                  <c:v>9006.41339625</c:v>
                </c:pt>
                <c:pt idx="7">
                  <c:v>9393.2720566249991</c:v>
                </c:pt>
                <c:pt idx="8">
                  <c:v>9312.2448509624992</c:v>
                </c:pt>
                <c:pt idx="9">
                  <c:v>9883.1203658662489</c:v>
                </c:pt>
                <c:pt idx="10" formatCode="General">
                  <c:v>1844</c:v>
                </c:pt>
                <c:pt idx="11" formatCode="General">
                  <c:v>1844</c:v>
                </c:pt>
                <c:pt idx="12" formatCode="General">
                  <c:v>1844</c:v>
                </c:pt>
                <c:pt idx="13" formatCode="General">
                  <c:v>1844</c:v>
                </c:pt>
                <c:pt idx="14" formatCode="General">
                  <c:v>1844</c:v>
                </c:pt>
                <c:pt idx="15" formatCode="General">
                  <c:v>1844</c:v>
                </c:pt>
                <c:pt idx="16" formatCode="General">
                  <c:v>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6-4E35-B2CE-EAB15D63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792085"/>
        <c:axId val="75802323"/>
      </c:lineChart>
      <c:catAx>
        <c:axId val="1353792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802323"/>
        <c:crosses val="autoZero"/>
        <c:auto val="1"/>
        <c:lblAlgn val="ctr"/>
        <c:lblOffset val="100"/>
        <c:noMultiLvlLbl val="1"/>
      </c:catAx>
      <c:valAx>
        <c:axId val="75802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37920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Squared Error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Exponential Smoothing'!$J$1</c:f>
              <c:strCache>
                <c:ptCount val="1"/>
                <c:pt idx="0">
                  <c:v>Mean Squared Error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'Simple Exponential Smoothing'!$C$2:$C$1000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Smoothing'!$J$2:$J$1000</c:f>
              <c:numCache>
                <c:formatCode>#,##0.000000</c:formatCode>
                <c:ptCount val="999"/>
                <c:pt idx="1">
                  <c:v>20399901.390625</c:v>
                </c:pt>
                <c:pt idx="2">
                  <c:v>10720188.946015626</c:v>
                </c:pt>
                <c:pt idx="3">
                  <c:v>9183665.0110567715</c:v>
                </c:pt>
                <c:pt idx="4">
                  <c:v>8932978.2078107391</c:v>
                </c:pt>
                <c:pt idx="5">
                  <c:v>8775209.0783563592</c:v>
                </c:pt>
                <c:pt idx="6">
                  <c:v>9807001.2837492917</c:v>
                </c:pt>
                <c:pt idx="7">
                  <c:v>8499792.6440347228</c:v>
                </c:pt>
                <c:pt idx="8">
                  <c:v>11511054.232488155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DB-4DAB-A48D-8ABC6236B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793542"/>
        <c:axId val="1038719052"/>
      </c:lineChart>
      <c:catAx>
        <c:axId val="1169793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8719052"/>
        <c:crosses val="autoZero"/>
        <c:auto val="1"/>
        <c:lblAlgn val="ctr"/>
        <c:lblOffset val="100"/>
        <c:noMultiLvlLbl val="1"/>
      </c:catAx>
      <c:valAx>
        <c:axId val="1038719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Squared 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97935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Period, t and Mean Absolute Deviation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Exponential Smoothing'!$K$1</c:f>
              <c:strCache>
                <c:ptCount val="1"/>
                <c:pt idx="0">
                  <c:v>Mean Absolute Deviation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'Simple Exponential Smoothing'!$C$2:$C$1000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Smoothing'!$K$2:$K$1000</c:f>
              <c:numCache>
                <c:formatCode>General</c:formatCode>
                <c:ptCount val="999"/>
                <c:pt idx="1">
                  <c:v>4516.625</c:v>
                </c:pt>
                <c:pt idx="2">
                  <c:v>2768.3312500000002</c:v>
                </c:pt>
                <c:pt idx="3">
                  <c:v>2669.5429166666668</c:v>
                </c:pt>
                <c:pt idx="4">
                  <c:v>2717.2147812500002</c:v>
                </c:pt>
                <c:pt idx="5">
                  <c:v>2744.5303575000003</c:v>
                </c:pt>
                <c:pt idx="6">
                  <c:v>2931.8730652083336</c:v>
                </c:pt>
                <c:pt idx="7">
                  <c:v>2628.7872068392858</c:v>
                </c:pt>
                <c:pt idx="8">
                  <c:v>3013.7831996140626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2-4956-A900-BB15B277A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678046"/>
        <c:axId val="1290763260"/>
      </c:lineChart>
      <c:catAx>
        <c:axId val="1922678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0763260"/>
        <c:crosses val="autoZero"/>
        <c:auto val="1"/>
        <c:lblAlgn val="ctr"/>
        <c:lblOffset val="100"/>
        <c:noMultiLvlLbl val="1"/>
      </c:catAx>
      <c:valAx>
        <c:axId val="1290763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26780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Absolute Percent Error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Exponential Smoothing'!$N$1</c:f>
              <c:strCache>
                <c:ptCount val="1"/>
                <c:pt idx="0">
                  <c:v>Mean Absolute Percent Error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'Simple Exponential Smoothing'!$C$2:$C$1000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Smoothing'!$N$2:$N$1000</c:f>
              <c:numCache>
                <c:formatCode>0.00%</c:formatCode>
                <c:ptCount val="999"/>
                <c:pt idx="1">
                  <c:v>0.88805053086905228</c:v>
                </c:pt>
                <c:pt idx="2">
                  <c:v>0.49416967109768611</c:v>
                </c:pt>
                <c:pt idx="3">
                  <c:v>0.45096078894100272</c:v>
                </c:pt>
                <c:pt idx="4">
                  <c:v>0.39848163955254118</c:v>
                </c:pt>
                <c:pt idx="5">
                  <c:v>0.40743994545688234</c:v>
                </c:pt>
                <c:pt idx="6">
                  <c:v>0.38961207886779031</c:v>
                </c:pt>
                <c:pt idx="7">
                  <c:v>0.34743953819274748</c:v>
                </c:pt>
                <c:pt idx="8">
                  <c:v>0.35151604646320422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2-44E1-B323-6BD7C099B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7342485"/>
        <c:axId val="1416972576"/>
      </c:lineChart>
      <c:catAx>
        <c:axId val="1757342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6972576"/>
        <c:crosses val="autoZero"/>
        <c:auto val="1"/>
        <c:lblAlgn val="ctr"/>
        <c:lblOffset val="100"/>
        <c:noMultiLvlLbl val="1"/>
      </c:catAx>
      <c:valAx>
        <c:axId val="1416972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Absolute Percent 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73424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Period, t and Tracking  Signal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Exponential Smoothing'!$P$1</c:f>
              <c:strCache>
                <c:ptCount val="1"/>
                <c:pt idx="0">
                  <c:v>Tracking  Signal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'Simple Exponential Smoothing'!$C$2:$C$1000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'Simple Exponential Smoothing'!$P$2:$P$1000</c:f>
              <c:numCache>
                <c:formatCode>General</c:formatCode>
                <c:ptCount val="999"/>
                <c:pt idx="1">
                  <c:v>1</c:v>
                </c:pt>
                <c:pt idx="2">
                  <c:v>1.2630668746740477</c:v>
                </c:pt>
                <c:pt idx="3">
                  <c:v>2.2357961405065749</c:v>
                </c:pt>
                <c:pt idx="4">
                  <c:v>1.1439373127398034</c:v>
                </c:pt>
                <c:pt idx="5">
                  <c:v>2.1723629404234046</c:v>
                </c:pt>
                <c:pt idx="6">
                  <c:v>0.71405868780381043</c:v>
                </c:pt>
                <c:pt idx="7">
                  <c:v>1.1046164112561907</c:v>
                </c:pt>
                <c:pt idx="8">
                  <c:v>-0.93070850584796505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B-4B62-83D7-19107B6DB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876973"/>
        <c:axId val="1253343765"/>
      </c:lineChart>
      <c:catAx>
        <c:axId val="1771876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3343765"/>
        <c:crosses val="autoZero"/>
        <c:auto val="1"/>
        <c:lblAlgn val="ctr"/>
        <c:lblOffset val="100"/>
        <c:noMultiLvlLbl val="1"/>
      </c:catAx>
      <c:valAx>
        <c:axId val="1253343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18769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Demand vs.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Holt!$D$1</c:f>
              <c:strCache>
                <c:ptCount val="1"/>
                <c:pt idx="0">
                  <c:v>Demand, Dt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Holt!$C$2:$C$1000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Holt!$D$2:$D$1000</c:f>
              <c:numCache>
                <c:formatCode>#,##0</c:formatCode>
                <c:ptCount val="999"/>
                <c:pt idx="1">
                  <c:v>5086</c:v>
                </c:pt>
                <c:pt idx="2">
                  <c:v>10171</c:v>
                </c:pt>
                <c:pt idx="3">
                  <c:v>6781</c:v>
                </c:pt>
                <c:pt idx="4">
                  <c:v>11866</c:v>
                </c:pt>
                <c:pt idx="5">
                  <c:v>6438</c:v>
                </c:pt>
                <c:pt idx="6">
                  <c:v>12875</c:v>
                </c:pt>
                <c:pt idx="7">
                  <c:v>8583</c:v>
                </c:pt>
                <c:pt idx="8">
                  <c:v>15021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B-4372-A927-9DBF1181A97D}"/>
            </c:ext>
          </c:extLst>
        </c:ser>
        <c:ser>
          <c:idx val="1"/>
          <c:order val="1"/>
          <c:tx>
            <c:strRef>
              <c:f>Holt!$G$1</c:f>
              <c:strCache>
                <c:ptCount val="1"/>
                <c:pt idx="0">
                  <c:v>Forecast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numRef>
              <c:f>Holt!$C$2:$C$1000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Holt!$G$2:$G$1000</c:f>
              <c:numCache>
                <c:formatCode>#,##0</c:formatCode>
                <c:ptCount val="999"/>
                <c:pt idx="1">
                  <c:v>6500.166666666667</c:v>
                </c:pt>
                <c:pt idx="2">
                  <c:v>7231.0250000000015</c:v>
                </c:pt>
                <c:pt idx="3">
                  <c:v>8426.6972500000029</c:v>
                </c:pt>
                <c:pt idx="4">
                  <c:v>9147.3453025000035</c:v>
                </c:pt>
                <c:pt idx="5">
                  <c:v>10331.615096725005</c:v>
                </c:pt>
                <c:pt idx="6">
                  <c:v>10815.721760560255</c:v>
                </c:pt>
                <c:pt idx="7">
                  <c:v>11915.710540406379</c:v>
                </c:pt>
                <c:pt idx="8">
                  <c:v>12443.173336863823</c:v>
                </c:pt>
                <c:pt idx="9">
                  <c:v>13587.468120306889</c:v>
                </c:pt>
                <c:pt idx="10">
                  <c:v>14473.980237436333</c:v>
                </c:pt>
                <c:pt idx="11">
                  <c:v>15360.49235456578</c:v>
                </c:pt>
                <c:pt idx="12">
                  <c:v>16247.004471695225</c:v>
                </c:pt>
                <c:pt idx="13">
                  <c:v>17133.51658882467</c:v>
                </c:pt>
                <c:pt idx="14">
                  <c:v>18020.028705954119</c:v>
                </c:pt>
                <c:pt idx="15">
                  <c:v>18906.540823083564</c:v>
                </c:pt>
                <c:pt idx="16">
                  <c:v>19793.052940213012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B-4372-A927-9DBF1181A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972966"/>
        <c:axId val="822959275"/>
      </c:lineChart>
      <c:catAx>
        <c:axId val="1439972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2959275"/>
        <c:crosses val="autoZero"/>
        <c:auto val="1"/>
        <c:lblAlgn val="ctr"/>
        <c:lblOffset val="100"/>
        <c:noMultiLvlLbl val="1"/>
      </c:catAx>
      <c:valAx>
        <c:axId val="822959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997296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Squared Error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Holt!$K$1</c:f>
              <c:strCache>
                <c:ptCount val="1"/>
                <c:pt idx="0">
                  <c:v>Mean Squared Error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Holt!$C$2:$C$1000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Holt!$K$2:$K$1000</c:f>
              <c:numCache>
                <c:formatCode>#,##0.000000</c:formatCode>
                <c:ptCount val="999"/>
                <c:pt idx="1">
                  <c:v>1999867.3611111119</c:v>
                </c:pt>
                <c:pt idx="2">
                  <c:v>5321660.1808680519</c:v>
                </c:pt>
                <c:pt idx="3">
                  <c:v>4450546.6001312258</c:v>
                </c:pt>
                <c:pt idx="4">
                  <c:v>5185680.7911581183</c:v>
                </c:pt>
                <c:pt idx="5">
                  <c:v>7180592.3372154683</c:v>
                </c:pt>
                <c:pt idx="6">
                  <c:v>6690598.0922512338</c:v>
                </c:pt>
                <c:pt idx="7">
                  <c:v>7321506.8713775966</c:v>
                </c:pt>
                <c:pt idx="8">
                  <c:v>7236967.3006023718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B-4D55-819C-BCAC45BCF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06539"/>
        <c:axId val="784121315"/>
      </c:lineChart>
      <c:catAx>
        <c:axId val="87506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4121315"/>
        <c:crosses val="autoZero"/>
        <c:auto val="1"/>
        <c:lblAlgn val="ctr"/>
        <c:lblOffset val="100"/>
        <c:noMultiLvlLbl val="1"/>
      </c:catAx>
      <c:valAx>
        <c:axId val="784121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Squared 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5065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Period, t and Mean Absolute Deviation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Holt!$C$1</c:f>
              <c:strCache>
                <c:ptCount val="1"/>
                <c:pt idx="0">
                  <c:v>Period, t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val>
            <c:numRef>
              <c:f>Holt!$C$2:$C$1000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1-4581-9D52-8BBE916F7A05}"/>
            </c:ext>
          </c:extLst>
        </c:ser>
        <c:ser>
          <c:idx val="1"/>
          <c:order val="1"/>
          <c:tx>
            <c:strRef>
              <c:f>Holt!$L$1</c:f>
              <c:strCache>
                <c:ptCount val="1"/>
                <c:pt idx="0">
                  <c:v>Mean Absolute Deviation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val>
            <c:numRef>
              <c:f>Holt!$L$2:$L$1000</c:f>
              <c:numCache>
                <c:formatCode>General</c:formatCode>
                <c:ptCount val="999"/>
                <c:pt idx="1">
                  <c:v>1414.166666666667</c:v>
                </c:pt>
                <c:pt idx="2">
                  <c:v>2177.0708333333328</c:v>
                </c:pt>
                <c:pt idx="3">
                  <c:v>1999.9463055555561</c:v>
                </c:pt>
                <c:pt idx="4">
                  <c:v>2179.6234035416664</c:v>
                </c:pt>
                <c:pt idx="5">
                  <c:v>2522.4217421783342</c:v>
                </c:pt>
                <c:pt idx="6">
                  <c:v>2445.2311583885694</c:v>
                </c:pt>
                <c:pt idx="7">
                  <c:v>2572.0139272482566</c:v>
                </c:pt>
                <c:pt idx="8">
                  <c:v>2572.7405192342467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1-4581-9D52-8BBE916F7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253328"/>
        <c:axId val="1843118111"/>
      </c:lineChart>
      <c:catAx>
        <c:axId val="75525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3118111"/>
        <c:crosses val="autoZero"/>
        <c:auto val="1"/>
        <c:lblAlgn val="ctr"/>
        <c:lblOffset val="100"/>
        <c:noMultiLvlLbl val="1"/>
      </c:catAx>
      <c:valAx>
        <c:axId val="1843118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52533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Mean Absolute Percent Error vs. Period, 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Holt!$O$1</c:f>
              <c:strCache>
                <c:ptCount val="1"/>
                <c:pt idx="0">
                  <c:v>Mean Absolute Percent Error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Holt!$C$2:$C$1000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Holt!$O$2:$O$1000</c:f>
              <c:numCache>
                <c:formatCode>0.00%</c:formatCode>
                <c:ptCount val="999"/>
                <c:pt idx="1">
                  <c:v>0.2780508585659982</c:v>
                </c:pt>
                <c:pt idx="2">
                  <c:v>0.28355276189532819</c:v>
                </c:pt>
                <c:pt idx="3">
                  <c:v>0.2699326454713879</c:v>
                </c:pt>
                <c:pt idx="4">
                  <c:v>0.25972773072203065</c:v>
                </c:pt>
                <c:pt idx="5">
                  <c:v>0.32873947245351781</c:v>
                </c:pt>
                <c:pt idx="6">
                  <c:v>0.30060688386582463</c:v>
                </c:pt>
                <c:pt idx="7">
                  <c:v>0.31313333409444943</c:v>
                </c:pt>
                <c:pt idx="8">
                  <c:v>0.29544352359334641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E-4081-ABD2-46A601FE4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276375"/>
        <c:axId val="329242776"/>
      </c:lineChart>
      <c:catAx>
        <c:axId val="1290276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Period, 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9242776"/>
        <c:crosses val="autoZero"/>
        <c:auto val="1"/>
        <c:lblAlgn val="ctr"/>
        <c:lblOffset val="100"/>
        <c:noMultiLvlLbl val="1"/>
      </c:catAx>
      <c:valAx>
        <c:axId val="329242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Absolute Percent 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02763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Period, t and Tracking  Signal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Holt!$Q$1</c:f>
              <c:strCache>
                <c:ptCount val="1"/>
                <c:pt idx="0">
                  <c:v>Tracking  Signal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Holt!$C$2:$C$1000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cat>
          <c:val>
            <c:numRef>
              <c:f>Holt!$Q$2:$Q$1000</c:f>
              <c:numCache>
                <c:formatCode>General</c:formatCode>
                <c:ptCount val="999"/>
                <c:pt idx="1">
                  <c:v>1</c:v>
                </c:pt>
                <c:pt idx="2">
                  <c:v>-0.70085378480641936</c:v>
                </c:pt>
                <c:pt idx="3">
                  <c:v>5.9946067718737034E-2</c:v>
                </c:pt>
                <c:pt idx="4">
                  <c:v>-1.1923003655634248</c:v>
                </c:pt>
                <c:pt idx="5">
                  <c:v>0.51333577341173053</c:v>
                </c:pt>
                <c:pt idx="6">
                  <c:v>-0.31262031032347531</c:v>
                </c:pt>
                <c:pt idx="7">
                  <c:v>0.99854887629090849</c:v>
                </c:pt>
                <c:pt idx="8">
                  <c:v>-3.7100695567637526E-3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4-458E-80BE-290A60688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497726"/>
        <c:axId val="1228030982"/>
      </c:lineChart>
      <c:catAx>
        <c:axId val="572497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8030982"/>
        <c:crosses val="autoZero"/>
        <c:auto val="1"/>
        <c:lblAlgn val="ctr"/>
        <c:lblOffset val="100"/>
        <c:noMultiLvlLbl val="1"/>
      </c:catAx>
      <c:valAx>
        <c:axId val="1228030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24977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180975</xdr:colOff>
      <xdr:row>49</xdr:row>
      <xdr:rowOff>38100</xdr:rowOff>
    </xdr:from>
    <xdr:ext cx="4419600" cy="27336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1352550</xdr:colOff>
      <xdr:row>21</xdr:row>
      <xdr:rowOff>76200</xdr:rowOff>
    </xdr:from>
    <xdr:ext cx="5715000" cy="35337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657225</xdr:colOff>
      <xdr:row>12</xdr:row>
      <xdr:rowOff>76200</xdr:rowOff>
    </xdr:from>
    <xdr:ext cx="5715000" cy="353377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752475</xdr:colOff>
      <xdr:row>42</xdr:row>
      <xdr:rowOff>0</xdr:rowOff>
    </xdr:from>
    <xdr:ext cx="5715000" cy="353377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571500</xdr:colOff>
      <xdr:row>20</xdr:row>
      <xdr:rowOff>133350</xdr:rowOff>
    </xdr:from>
    <xdr:ext cx="3752850" cy="2324100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352425</xdr:colOff>
      <xdr:row>26</xdr:row>
      <xdr:rowOff>142875</xdr:rowOff>
    </xdr:from>
    <xdr:ext cx="5715000" cy="3533775"/>
    <xdr:graphicFrame macro="">
      <xdr:nvGraphicFramePr>
        <xdr:cNvPr id="26" name="Chart 26" title="Chart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152400</xdr:colOff>
      <xdr:row>12</xdr:row>
      <xdr:rowOff>133350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895350</xdr:colOff>
      <xdr:row>29</xdr:row>
      <xdr:rowOff>38100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352425</xdr:colOff>
      <xdr:row>32</xdr:row>
      <xdr:rowOff>47625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1171575</xdr:colOff>
      <xdr:row>26</xdr:row>
      <xdr:rowOff>161925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1743075</xdr:colOff>
      <xdr:row>11</xdr:row>
      <xdr:rowOff>123825</xdr:rowOff>
    </xdr:from>
    <xdr:ext cx="5715000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247650</xdr:colOff>
      <xdr:row>30</xdr:row>
      <xdr:rowOff>171450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828675</xdr:colOff>
      <xdr:row>22</xdr:row>
      <xdr:rowOff>85725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819150</xdr:colOff>
      <xdr:row>43</xdr:row>
      <xdr:rowOff>47625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1047750</xdr:colOff>
      <xdr:row>43</xdr:row>
      <xdr:rowOff>47625</xdr:rowOff>
    </xdr:from>
    <xdr:ext cx="5715000" cy="35337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8</xdr:col>
      <xdr:colOff>1047750</xdr:colOff>
      <xdr:row>22</xdr:row>
      <xdr:rowOff>95250</xdr:rowOff>
    </xdr:from>
    <xdr:ext cx="5715000" cy="35337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581025</xdr:colOff>
      <xdr:row>27</xdr:row>
      <xdr:rowOff>114300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1143000</xdr:colOff>
      <xdr:row>45</xdr:row>
      <xdr:rowOff>38100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1219200</xdr:colOff>
      <xdr:row>45</xdr:row>
      <xdr:rowOff>38100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1228725</xdr:colOff>
      <xdr:row>24</xdr:row>
      <xdr:rowOff>95250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1143000</xdr:colOff>
      <xdr:row>24</xdr:row>
      <xdr:rowOff>95250</xdr:rowOff>
    </xdr:from>
    <xdr:ext cx="5715000" cy="35337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666750</xdr:colOff>
      <xdr:row>26</xdr:row>
      <xdr:rowOff>47625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57150</xdr:colOff>
      <xdr:row>55</xdr:row>
      <xdr:rowOff>19050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57150</xdr:colOff>
      <xdr:row>34</xdr:row>
      <xdr:rowOff>104775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1000125</xdr:colOff>
      <xdr:row>33</xdr:row>
      <xdr:rowOff>161925</xdr:rowOff>
    </xdr:from>
    <xdr:ext cx="5715000" cy="35337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1419225</xdr:colOff>
      <xdr:row>55</xdr:row>
      <xdr:rowOff>9525</xdr:rowOff>
    </xdr:from>
    <xdr:ext cx="5715000" cy="35337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workbookViewId="0">
      <selection activeCell="D6" sqref="D6"/>
    </sheetView>
  </sheetViews>
  <sheetFormatPr defaultColWidth="12.6328125" defaultRowHeight="15" customHeight="1" x14ac:dyDescent="0.35"/>
  <cols>
    <col min="1" max="3" width="8.6328125" customWidth="1"/>
    <col min="4" max="7" width="15.453125" customWidth="1"/>
    <col min="8" max="8" width="8.6328125" customWidth="1"/>
    <col min="9" max="9" width="17.36328125" customWidth="1"/>
    <col min="10" max="10" width="16.453125" customWidth="1"/>
    <col min="11" max="11" width="33.453125" customWidth="1"/>
    <col min="12" max="12" width="20.453125" customWidth="1"/>
    <col min="13" max="13" width="24.453125" customWidth="1"/>
    <col min="14" max="14" width="16.453125" customWidth="1"/>
    <col min="15" max="15" width="19.453125" customWidth="1"/>
    <col min="16" max="16" width="30.08984375" customWidth="1"/>
    <col min="17" max="17" width="8.6328125" customWidth="1"/>
    <col min="18" max="18" width="16.453125" customWidth="1"/>
    <col min="19" max="26" width="8.63281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43</v>
      </c>
      <c r="E1" s="1" t="s">
        <v>19</v>
      </c>
      <c r="F1" s="1" t="s">
        <v>29</v>
      </c>
      <c r="G1" s="36" t="s">
        <v>44</v>
      </c>
      <c r="H1" s="1" t="s">
        <v>20</v>
      </c>
      <c r="I1" s="1" t="s">
        <v>9</v>
      </c>
      <c r="J1" s="1" t="s">
        <v>21</v>
      </c>
      <c r="K1" s="37" t="s">
        <v>22</v>
      </c>
      <c r="L1" s="1" t="s">
        <v>23</v>
      </c>
      <c r="M1" s="1" t="s">
        <v>12</v>
      </c>
      <c r="N1" s="14" t="s">
        <v>13</v>
      </c>
      <c r="O1" s="14" t="s">
        <v>14</v>
      </c>
      <c r="P1" s="1" t="s">
        <v>24</v>
      </c>
      <c r="Q1" s="1" t="s">
        <v>16</v>
      </c>
      <c r="R1" s="1" t="s">
        <v>25</v>
      </c>
      <c r="S1" s="4"/>
      <c r="T1" s="4"/>
    </row>
    <row r="2" spans="1:26" ht="14.25" customHeight="1" x14ac:dyDescent="0.35">
      <c r="A2" s="23"/>
      <c r="B2" s="23"/>
      <c r="C2" s="23">
        <v>0</v>
      </c>
      <c r="D2" s="23"/>
      <c r="E2" s="18">
        <v>6926.9874999999993</v>
      </c>
      <c r="F2" s="18">
        <v>563.28750000000002</v>
      </c>
      <c r="G2" s="25"/>
      <c r="H2" s="23"/>
      <c r="I2" s="23"/>
      <c r="J2" s="23"/>
      <c r="K2" s="25"/>
      <c r="L2" s="23"/>
      <c r="M2" s="23"/>
      <c r="N2" s="26"/>
      <c r="O2" s="26"/>
      <c r="P2" s="23"/>
      <c r="Q2" s="23"/>
      <c r="R2" s="23"/>
      <c r="S2" s="23"/>
      <c r="T2" s="23"/>
      <c r="U2" s="25"/>
      <c r="V2" s="25"/>
      <c r="W2" s="25"/>
      <c r="X2" s="25"/>
      <c r="Y2" s="25"/>
      <c r="Z2" s="25"/>
    </row>
    <row r="3" spans="1:26" ht="14.25" customHeight="1" x14ac:dyDescent="0.35">
      <c r="A3" s="5">
        <v>1</v>
      </c>
      <c r="B3" s="6">
        <v>1</v>
      </c>
      <c r="C3" s="5">
        <v>1</v>
      </c>
      <c r="D3" s="7">
        <v>5086</v>
      </c>
      <c r="E3" s="7">
        <f t="shared" ref="E3:E10" si="0">0.3*(D3/G3)+(1-0.3)*(E2+F2)</f>
        <v>8921.5917285438754</v>
      </c>
      <c r="F3" s="7">
        <f t="shared" ref="F3:F10" si="1">0.2*(E3-E2)+(1-0.2)*F2</f>
        <v>849.55084570877534</v>
      </c>
      <c r="G3" s="38">
        <v>0.4148</v>
      </c>
      <c r="H3" s="29">
        <f t="shared" ref="H3:H11" si="2">(E2 + F2)*G3</f>
        <v>3106.9660699999999</v>
      </c>
      <c r="I3" s="29">
        <f t="shared" ref="I3:I10" si="3">H3-D3</f>
        <v>-1979.0339300000001</v>
      </c>
      <c r="J3" s="18">
        <f t="shared" ref="J3:J10" si="4">ABS(I3)</f>
        <v>1979.0339300000001</v>
      </c>
      <c r="K3" s="30">
        <f t="shared" ref="K3:K10" si="5">I3^2</f>
        <v>3916575.296091245</v>
      </c>
      <c r="L3" s="30">
        <f t="shared" ref="L3:L10" si="6">AVERAGE($K$3:K3)</f>
        <v>3916575.296091245</v>
      </c>
      <c r="M3" s="18">
        <f t="shared" ref="M3:M10" si="7">AVERAGE($J$3:J3)</f>
        <v>1979.0339300000001</v>
      </c>
      <c r="N3" s="11">
        <f t="shared" ref="N3:N10" si="8">I3/D3</f>
        <v>-0.38911402477388912</v>
      </c>
      <c r="O3" s="11">
        <f t="shared" ref="O3:O10" si="9">ABS(N3)</f>
        <v>0.38911402477388912</v>
      </c>
      <c r="P3" s="11">
        <f t="shared" ref="P3:P10" si="10">AVERAGE($O$3:O3)</f>
        <v>0.38911402477388912</v>
      </c>
      <c r="Q3" s="29">
        <f>I3</f>
        <v>-1979.0339300000001</v>
      </c>
      <c r="R3" s="18">
        <f t="shared" ref="R3:R10" si="11">Q3/M3</f>
        <v>-1</v>
      </c>
    </row>
    <row r="4" spans="1:26" ht="14.25" customHeight="1" x14ac:dyDescent="0.35">
      <c r="A4" s="5">
        <v>1</v>
      </c>
      <c r="B4" s="6">
        <v>2</v>
      </c>
      <c r="C4" s="5">
        <v>2</v>
      </c>
      <c r="D4" s="7">
        <v>10171</v>
      </c>
      <c r="E4" s="7">
        <f t="shared" si="0"/>
        <v>10595.708221474641</v>
      </c>
      <c r="F4" s="7">
        <f t="shared" si="1"/>
        <v>1014.4639751531734</v>
      </c>
      <c r="G4" s="39">
        <v>0.81240000000000001</v>
      </c>
      <c r="H4" s="29">
        <f t="shared" si="2"/>
        <v>7938.0762273228547</v>
      </c>
      <c r="I4" s="29">
        <f t="shared" si="3"/>
        <v>-2232.9237726771453</v>
      </c>
      <c r="J4" s="18">
        <f t="shared" si="4"/>
        <v>2232.9237726771453</v>
      </c>
      <c r="K4" s="30">
        <f t="shared" si="5"/>
        <v>4985948.5745867351</v>
      </c>
      <c r="L4" s="30">
        <f t="shared" si="6"/>
        <v>4451261.9353389898</v>
      </c>
      <c r="M4" s="18">
        <f t="shared" si="7"/>
        <v>2105.9788513385729</v>
      </c>
      <c r="N4" s="11">
        <f t="shared" si="8"/>
        <v>-0.21953827280278687</v>
      </c>
      <c r="O4" s="11">
        <f t="shared" si="9"/>
        <v>0.21953827280278687</v>
      </c>
      <c r="P4" s="11">
        <f t="shared" si="10"/>
        <v>0.30432614878833797</v>
      </c>
      <c r="Q4" s="29">
        <f t="shared" ref="Q4:Q10" si="12">I4+Q3</f>
        <v>-4211.9577026771458</v>
      </c>
      <c r="R4" s="18">
        <f t="shared" si="11"/>
        <v>-2</v>
      </c>
    </row>
    <row r="5" spans="1:26" ht="14.25" customHeight="1" x14ac:dyDescent="0.35">
      <c r="A5" s="5">
        <v>1</v>
      </c>
      <c r="B5" s="6">
        <v>3</v>
      </c>
      <c r="C5" s="5">
        <v>3</v>
      </c>
      <c r="D5" s="7">
        <v>6781</v>
      </c>
      <c r="E5" s="7">
        <f t="shared" si="0"/>
        <v>11961.082090598386</v>
      </c>
      <c r="F5" s="7">
        <f t="shared" si="1"/>
        <v>1084.6459539472878</v>
      </c>
      <c r="G5" s="38">
        <v>0.53059999999999996</v>
      </c>
      <c r="H5" s="29">
        <f t="shared" si="2"/>
        <v>6160.357367530718</v>
      </c>
      <c r="I5" s="29">
        <f t="shared" si="3"/>
        <v>-620.64263246928203</v>
      </c>
      <c r="J5" s="18">
        <f t="shared" si="4"/>
        <v>620.64263246928203</v>
      </c>
      <c r="K5" s="30">
        <f t="shared" si="5"/>
        <v>385197.2772384003</v>
      </c>
      <c r="L5" s="30">
        <f t="shared" si="6"/>
        <v>3095907.04930546</v>
      </c>
      <c r="M5" s="18">
        <f t="shared" si="7"/>
        <v>1610.8667783821427</v>
      </c>
      <c r="N5" s="11">
        <f t="shared" si="8"/>
        <v>-9.1526711763645782E-2</v>
      </c>
      <c r="O5" s="11">
        <f t="shared" si="9"/>
        <v>9.1526711763645782E-2</v>
      </c>
      <c r="P5" s="11">
        <f t="shared" si="10"/>
        <v>0.23339300311344058</v>
      </c>
      <c r="Q5" s="29">
        <f t="shared" si="12"/>
        <v>-4832.6003351464278</v>
      </c>
      <c r="R5" s="18">
        <f t="shared" si="11"/>
        <v>-3</v>
      </c>
    </row>
    <row r="6" spans="1:26" ht="14.25" customHeight="1" x14ac:dyDescent="0.35">
      <c r="A6" s="5">
        <v>1</v>
      </c>
      <c r="B6" s="6">
        <v>4</v>
      </c>
      <c r="C6" s="5">
        <v>4</v>
      </c>
      <c r="D6" s="7">
        <v>11866</v>
      </c>
      <c r="E6" s="7">
        <f t="shared" si="0"/>
        <v>13043.447934665104</v>
      </c>
      <c r="F6" s="7">
        <f t="shared" si="1"/>
        <v>1084.189931971174</v>
      </c>
      <c r="G6" s="38">
        <v>0.91010000000000002</v>
      </c>
      <c r="H6" s="29">
        <f t="shared" si="2"/>
        <v>11872.917093341017</v>
      </c>
      <c r="I6" s="29">
        <f t="shared" si="3"/>
        <v>6.91709334101688</v>
      </c>
      <c r="J6" s="18">
        <f t="shared" si="4"/>
        <v>6.91709334101688</v>
      </c>
      <c r="K6" s="30">
        <f t="shared" si="5"/>
        <v>47.846180288340065</v>
      </c>
      <c r="L6" s="30">
        <f t="shared" si="6"/>
        <v>2321942.2485241671</v>
      </c>
      <c r="M6" s="18">
        <f t="shared" si="7"/>
        <v>1209.8793571218612</v>
      </c>
      <c r="N6" s="11">
        <f t="shared" si="8"/>
        <v>5.8293387333700319E-4</v>
      </c>
      <c r="O6" s="11">
        <f t="shared" si="9"/>
        <v>5.8293387333700319E-4</v>
      </c>
      <c r="P6" s="11">
        <f t="shared" si="10"/>
        <v>0.17519048580341468</v>
      </c>
      <c r="Q6" s="29">
        <f t="shared" si="12"/>
        <v>-4825.6832418054109</v>
      </c>
      <c r="R6" s="18">
        <f t="shared" si="11"/>
        <v>-3.9885656478056264</v>
      </c>
    </row>
    <row r="7" spans="1:26" ht="14.25" customHeight="1" x14ac:dyDescent="0.35">
      <c r="A7" s="5">
        <v>2</v>
      </c>
      <c r="B7" s="6">
        <v>1</v>
      </c>
      <c r="C7" s="5">
        <v>5</v>
      </c>
      <c r="D7" s="7">
        <v>6438</v>
      </c>
      <c r="E7" s="7">
        <f t="shared" si="0"/>
        <v>14075.453865814638</v>
      </c>
      <c r="F7" s="7">
        <f t="shared" si="1"/>
        <v>1073.7531318068459</v>
      </c>
      <c r="G7" s="38">
        <f t="shared" ref="G7:G14" si="13">0.3*(D3/E3)+(1-0.3)*G3</f>
        <v>0.4613832934240123</v>
      </c>
      <c r="H7" s="29">
        <f t="shared" si="2"/>
        <v>6518.2560872104332</v>
      </c>
      <c r="I7" s="29">
        <f t="shared" si="3"/>
        <v>80.256087210433179</v>
      </c>
      <c r="J7" s="18">
        <f t="shared" si="4"/>
        <v>80.256087210433179</v>
      </c>
      <c r="K7" s="19">
        <f t="shared" si="5"/>
        <v>6441.0395343286564</v>
      </c>
      <c r="L7" s="30">
        <f t="shared" si="6"/>
        <v>1858842.0067261993</v>
      </c>
      <c r="M7" s="18">
        <f t="shared" si="7"/>
        <v>983.9547031395756</v>
      </c>
      <c r="N7" s="11">
        <f t="shared" si="8"/>
        <v>1.2465996770803539E-2</v>
      </c>
      <c r="O7" s="11">
        <f t="shared" si="9"/>
        <v>1.2465996770803539E-2</v>
      </c>
      <c r="P7" s="11">
        <f t="shared" si="10"/>
        <v>0.14264558799689245</v>
      </c>
      <c r="Q7" s="29">
        <f t="shared" si="12"/>
        <v>-4745.4271545949778</v>
      </c>
      <c r="R7" s="18">
        <f t="shared" si="11"/>
        <v>-4.822810582086146</v>
      </c>
    </row>
    <row r="8" spans="1:26" ht="14.25" customHeight="1" x14ac:dyDescent="0.35">
      <c r="A8" s="5">
        <v>2</v>
      </c>
      <c r="B8" s="6">
        <v>2</v>
      </c>
      <c r="C8" s="5">
        <v>6</v>
      </c>
      <c r="D8" s="7">
        <v>12875</v>
      </c>
      <c r="E8" s="7">
        <f t="shared" si="0"/>
        <v>15113.260706818419</v>
      </c>
      <c r="F8" s="7">
        <f t="shared" si="1"/>
        <v>1066.5638736462331</v>
      </c>
      <c r="G8" s="38">
        <f t="shared" si="13"/>
        <v>0.85665508729202622</v>
      </c>
      <c r="H8" s="29">
        <f t="shared" si="2"/>
        <v>12977.645242952407</v>
      </c>
      <c r="I8" s="29">
        <f t="shared" si="3"/>
        <v>102.64524295240699</v>
      </c>
      <c r="J8" s="18">
        <f t="shared" si="4"/>
        <v>102.64524295240699</v>
      </c>
      <c r="K8" s="19">
        <f t="shared" si="5"/>
        <v>10536.045900758656</v>
      </c>
      <c r="L8" s="30">
        <f t="shared" si="6"/>
        <v>1550791.0132552925</v>
      </c>
      <c r="M8" s="18">
        <f t="shared" si="7"/>
        <v>837.06979310838085</v>
      </c>
      <c r="N8" s="11">
        <f t="shared" si="8"/>
        <v>7.9724460545558817E-3</v>
      </c>
      <c r="O8" s="11">
        <f t="shared" si="9"/>
        <v>7.9724460545558817E-3</v>
      </c>
      <c r="P8" s="11">
        <f t="shared" si="10"/>
        <v>0.12020006433983636</v>
      </c>
      <c r="Q8" s="29">
        <f t="shared" si="12"/>
        <v>-4642.7819116425708</v>
      </c>
      <c r="R8" s="18">
        <f t="shared" si="11"/>
        <v>-5.5464693026396663</v>
      </c>
    </row>
    <row r="9" spans="1:26" ht="14.25" customHeight="1" x14ac:dyDescent="0.35">
      <c r="A9" s="5">
        <v>2</v>
      </c>
      <c r="B9" s="6">
        <v>3</v>
      </c>
      <c r="C9" s="5">
        <v>7</v>
      </c>
      <c r="D9" s="7">
        <v>8583</v>
      </c>
      <c r="E9" s="7">
        <f t="shared" si="0"/>
        <v>16081.031844949619</v>
      </c>
      <c r="F9" s="7">
        <f t="shared" si="1"/>
        <v>1046.8053265432266</v>
      </c>
      <c r="G9" s="38">
        <f t="shared" si="13"/>
        <v>0.54149658542858714</v>
      </c>
      <c r="H9" s="29">
        <f t="shared" si="2"/>
        <v>8761.319763155132</v>
      </c>
      <c r="I9" s="29">
        <f t="shared" si="3"/>
        <v>178.31976315513202</v>
      </c>
      <c r="J9" s="18">
        <f t="shared" si="4"/>
        <v>178.31976315513202</v>
      </c>
      <c r="K9" s="19">
        <f t="shared" si="5"/>
        <v>31797.937931702381</v>
      </c>
      <c r="L9" s="30">
        <f t="shared" si="6"/>
        <v>1333792.0024947796</v>
      </c>
      <c r="M9" s="18">
        <f t="shared" si="7"/>
        <v>742.96264597220238</v>
      </c>
      <c r="N9" s="11">
        <f t="shared" si="8"/>
        <v>2.0775924869524877E-2</v>
      </c>
      <c r="O9" s="11">
        <f t="shared" si="9"/>
        <v>2.0775924869524877E-2</v>
      </c>
      <c r="P9" s="11">
        <f t="shared" si="10"/>
        <v>0.10599661584407757</v>
      </c>
      <c r="Q9" s="29">
        <f t="shared" si="12"/>
        <v>-4464.4621484874388</v>
      </c>
      <c r="R9" s="18">
        <f t="shared" si="11"/>
        <v>-6.0089994735138736</v>
      </c>
    </row>
    <row r="10" spans="1:26" ht="14.25" customHeight="1" x14ac:dyDescent="0.35">
      <c r="A10" s="5">
        <v>2</v>
      </c>
      <c r="B10" s="6">
        <v>4</v>
      </c>
      <c r="C10" s="5">
        <v>8</v>
      </c>
      <c r="D10" s="7">
        <v>15021</v>
      </c>
      <c r="E10" s="7">
        <f t="shared" si="0"/>
        <v>16941.525890615943</v>
      </c>
      <c r="F10" s="7">
        <f t="shared" si="1"/>
        <v>1009.5430703678462</v>
      </c>
      <c r="G10" s="38">
        <f t="shared" si="13"/>
        <v>0.90998863453828394</v>
      </c>
      <c r="H10" s="29">
        <f t="shared" si="2"/>
        <v>15586.137160280839</v>
      </c>
      <c r="I10" s="29">
        <f t="shared" si="3"/>
        <v>565.13716028083945</v>
      </c>
      <c r="J10" s="18">
        <f t="shared" si="4"/>
        <v>565.13716028083945</v>
      </c>
      <c r="K10" s="19">
        <f t="shared" si="5"/>
        <v>319380.00993029121</v>
      </c>
      <c r="L10" s="30">
        <f t="shared" si="6"/>
        <v>1206990.5034242184</v>
      </c>
      <c r="M10" s="18">
        <f t="shared" si="7"/>
        <v>720.73446026078204</v>
      </c>
      <c r="N10" s="11">
        <f t="shared" si="8"/>
        <v>3.7623138291780801E-2</v>
      </c>
      <c r="O10" s="11">
        <f t="shared" si="9"/>
        <v>3.7623138291780801E-2</v>
      </c>
      <c r="P10" s="11">
        <f t="shared" si="10"/>
        <v>9.744993115004047E-2</v>
      </c>
      <c r="Q10" s="29">
        <f t="shared" si="12"/>
        <v>-3899.3249882065993</v>
      </c>
      <c r="R10" s="18">
        <f t="shared" si="11"/>
        <v>-5.4102102829878751</v>
      </c>
    </row>
    <row r="11" spans="1:26" ht="14.25" customHeight="1" x14ac:dyDescent="0.35">
      <c r="A11" s="5">
        <v>3</v>
      </c>
      <c r="B11" s="6">
        <v>1</v>
      </c>
      <c r="C11" s="5">
        <v>9</v>
      </c>
      <c r="E11" s="19"/>
      <c r="F11" s="19"/>
      <c r="G11" s="38">
        <f t="shared" si="13"/>
        <v>0.4601859055120584</v>
      </c>
      <c r="H11" s="29">
        <f t="shared" si="2"/>
        <v>8260.8289247197299</v>
      </c>
      <c r="N11" s="11"/>
      <c r="O11" s="11"/>
    </row>
    <row r="12" spans="1:26" ht="14.25" customHeight="1" x14ac:dyDescent="0.35">
      <c r="A12" s="5">
        <v>3</v>
      </c>
      <c r="B12" s="6">
        <v>2</v>
      </c>
      <c r="C12" s="5">
        <v>10</v>
      </c>
      <c r="E12" s="19"/>
      <c r="F12" s="19"/>
      <c r="G12" s="38">
        <f t="shared" si="13"/>
        <v>0.85522882320261751</v>
      </c>
      <c r="H12" s="29">
        <f>(E10 + 2* F10)*G12</f>
        <v>16215.661914774251</v>
      </c>
      <c r="N12" s="11"/>
      <c r="O12" s="11"/>
    </row>
    <row r="13" spans="1:26" ht="14.25" customHeight="1" x14ac:dyDescent="0.35">
      <c r="A13" s="5">
        <v>3</v>
      </c>
      <c r="B13" s="6">
        <v>3</v>
      </c>
      <c r="C13" s="5">
        <v>11</v>
      </c>
      <c r="E13" s="19"/>
      <c r="F13" s="19"/>
      <c r="G13" s="38">
        <f t="shared" si="13"/>
        <v>0.53916793198000024</v>
      </c>
      <c r="H13" s="29">
        <f>(E10 + 3 * F10)*G13</f>
        <v>10767.267227513945</v>
      </c>
      <c r="N13" s="11"/>
      <c r="O13" s="11"/>
    </row>
    <row r="14" spans="1:26" ht="14.25" customHeight="1" x14ac:dyDescent="0.35">
      <c r="A14" s="5">
        <v>3</v>
      </c>
      <c r="B14" s="6">
        <v>4</v>
      </c>
      <c r="C14" s="5">
        <v>12</v>
      </c>
      <c r="E14" s="19"/>
      <c r="F14" s="19"/>
      <c r="G14" s="38">
        <f t="shared" si="13"/>
        <v>0.90298343297466821</v>
      </c>
      <c r="H14" s="29">
        <f>(E10 + 4 * F10)*G14</f>
        <v>18944.319878203787</v>
      </c>
      <c r="N14" s="11"/>
      <c r="O14" s="11"/>
    </row>
    <row r="15" spans="1:26" ht="14.25" customHeight="1" x14ac:dyDescent="0.35">
      <c r="A15" s="5">
        <v>4</v>
      </c>
      <c r="B15" s="6">
        <v>1</v>
      </c>
      <c r="C15" s="5">
        <v>13</v>
      </c>
      <c r="E15" s="19"/>
      <c r="F15" s="19"/>
      <c r="G15" s="38"/>
      <c r="H15" s="29">
        <f>(E10 + 5 * F10)*G11</f>
        <v>10119.138892682335</v>
      </c>
      <c r="N15" s="11"/>
      <c r="O15" s="11"/>
    </row>
    <row r="16" spans="1:26" ht="14.25" customHeight="1" x14ac:dyDescent="0.35">
      <c r="A16" s="5">
        <v>4</v>
      </c>
      <c r="B16" s="6">
        <v>2</v>
      </c>
      <c r="C16" s="5">
        <v>14</v>
      </c>
      <c r="E16" s="19"/>
      <c r="F16" s="19"/>
      <c r="G16" s="38"/>
      <c r="H16" s="29">
        <f>(E10 + 6 * F10)*G12</f>
        <v>19669.223242946453</v>
      </c>
      <c r="N16" s="11"/>
      <c r="O16" s="11"/>
    </row>
    <row r="17" spans="1:15" ht="14.25" customHeight="1" x14ac:dyDescent="0.35">
      <c r="A17" s="5">
        <v>4</v>
      </c>
      <c r="B17" s="6">
        <v>3</v>
      </c>
      <c r="C17" s="5">
        <v>15</v>
      </c>
      <c r="E17" s="19"/>
      <c r="F17" s="19"/>
      <c r="G17" s="38"/>
      <c r="H17" s="29">
        <f>(E10 + 7 * F10)*G13</f>
        <v>12944.52022549383</v>
      </c>
      <c r="N17" s="11"/>
      <c r="O17" s="11"/>
    </row>
    <row r="18" spans="1:15" ht="14.25" customHeight="1" x14ac:dyDescent="0.35">
      <c r="A18" s="5">
        <v>4</v>
      </c>
      <c r="B18" s="6">
        <v>4</v>
      </c>
      <c r="C18" s="5">
        <v>16</v>
      </c>
      <c r="E18" s="19"/>
      <c r="F18" s="19"/>
      <c r="G18" s="38"/>
      <c r="H18" s="29">
        <f>(E10 + 8 * F10)*G14</f>
        <v>22590.722547869966</v>
      </c>
      <c r="N18" s="11"/>
      <c r="O18" s="11"/>
    </row>
    <row r="19" spans="1:15" ht="14.25" customHeight="1" x14ac:dyDescent="0.35">
      <c r="G19" s="39"/>
      <c r="N19" s="11"/>
      <c r="O19" s="11"/>
    </row>
    <row r="20" spans="1:15" ht="14.25" customHeight="1" x14ac:dyDescent="0.35">
      <c r="G20" s="39"/>
      <c r="N20" s="11"/>
      <c r="O20" s="11"/>
    </row>
    <row r="21" spans="1:15" ht="14.25" customHeight="1" x14ac:dyDescent="0.35">
      <c r="G21" s="39"/>
      <c r="N21" s="11"/>
      <c r="O21" s="11"/>
    </row>
    <row r="22" spans="1:15" ht="14.25" customHeight="1" x14ac:dyDescent="0.35">
      <c r="G22" s="39"/>
      <c r="N22" s="11"/>
      <c r="O22" s="11"/>
    </row>
    <row r="23" spans="1:15" ht="14.25" customHeight="1" x14ac:dyDescent="0.35">
      <c r="G23" s="39"/>
      <c r="N23" s="11"/>
      <c r="O23" s="11"/>
    </row>
    <row r="24" spans="1:15" ht="14.25" customHeight="1" x14ac:dyDescent="0.35">
      <c r="G24" s="39"/>
      <c r="N24" s="11"/>
      <c r="O24" s="11"/>
    </row>
    <row r="25" spans="1:15" ht="14.25" customHeight="1" x14ac:dyDescent="0.35">
      <c r="D25" s="5" t="s">
        <v>26</v>
      </c>
      <c r="E25" s="18">
        <v>33252.324999999997</v>
      </c>
      <c r="G25" s="39"/>
      <c r="N25" s="11"/>
      <c r="O25" s="11"/>
    </row>
    <row r="26" spans="1:15" ht="14.25" customHeight="1" x14ac:dyDescent="0.35">
      <c r="D26" s="5" t="s">
        <v>27</v>
      </c>
      <c r="E26" s="18">
        <v>750.58749999999998</v>
      </c>
      <c r="G26" s="39"/>
      <c r="N26" s="11"/>
      <c r="O26" s="11"/>
    </row>
    <row r="27" spans="1:15" ht="14.25" customHeight="1" x14ac:dyDescent="0.35">
      <c r="G27" s="39"/>
      <c r="N27" s="11"/>
      <c r="O27" s="11"/>
    </row>
    <row r="28" spans="1:15" ht="14.25" customHeight="1" x14ac:dyDescent="0.35">
      <c r="G28" s="39"/>
      <c r="N28" s="11"/>
      <c r="O28" s="11"/>
    </row>
    <row r="29" spans="1:15" ht="14.25" customHeight="1" x14ac:dyDescent="0.35">
      <c r="G29" s="39"/>
      <c r="N29" s="11"/>
      <c r="O29" s="11"/>
    </row>
    <row r="30" spans="1:15" ht="14.25" customHeight="1" x14ac:dyDescent="0.35">
      <c r="G30" s="39"/>
      <c r="N30" s="11"/>
      <c r="O30" s="11"/>
    </row>
    <row r="31" spans="1:15" ht="14.25" customHeight="1" x14ac:dyDescent="0.35">
      <c r="G31" s="39"/>
      <c r="N31" s="11"/>
      <c r="O31" s="11"/>
    </row>
    <row r="32" spans="1:15" ht="14.25" customHeight="1" x14ac:dyDescent="0.35">
      <c r="G32" s="39"/>
      <c r="N32" s="11"/>
      <c r="O32" s="11"/>
    </row>
    <row r="33" spans="7:15" ht="14.25" customHeight="1" x14ac:dyDescent="0.35">
      <c r="G33" s="39"/>
      <c r="N33" s="11"/>
      <c r="O33" s="11"/>
    </row>
    <row r="34" spans="7:15" ht="14.25" customHeight="1" x14ac:dyDescent="0.35">
      <c r="G34" s="39"/>
      <c r="N34" s="11"/>
      <c r="O34" s="11"/>
    </row>
    <row r="35" spans="7:15" ht="14.25" customHeight="1" x14ac:dyDescent="0.35">
      <c r="G35" s="39"/>
      <c r="N35" s="11"/>
      <c r="O35" s="11"/>
    </row>
    <row r="36" spans="7:15" ht="14.25" customHeight="1" x14ac:dyDescent="0.35">
      <c r="G36" s="39"/>
      <c r="N36" s="11"/>
      <c r="O36" s="11"/>
    </row>
    <row r="37" spans="7:15" ht="14.25" customHeight="1" x14ac:dyDescent="0.35">
      <c r="G37" s="39"/>
      <c r="N37" s="11"/>
      <c r="O37" s="11"/>
    </row>
    <row r="38" spans="7:15" ht="14.25" customHeight="1" x14ac:dyDescent="0.35">
      <c r="G38" s="39"/>
      <c r="N38" s="11"/>
      <c r="O38" s="11"/>
    </row>
    <row r="39" spans="7:15" ht="14.25" customHeight="1" x14ac:dyDescent="0.35">
      <c r="G39" s="39"/>
      <c r="N39" s="11"/>
      <c r="O39" s="11"/>
    </row>
    <row r="40" spans="7:15" ht="14.25" customHeight="1" x14ac:dyDescent="0.35">
      <c r="G40" s="39"/>
      <c r="N40" s="11"/>
      <c r="O40" s="11"/>
    </row>
    <row r="41" spans="7:15" ht="14.25" customHeight="1" x14ac:dyDescent="0.35">
      <c r="G41" s="39"/>
      <c r="N41" s="11"/>
      <c r="O41" s="11"/>
    </row>
    <row r="42" spans="7:15" ht="14.25" customHeight="1" x14ac:dyDescent="0.35">
      <c r="G42" s="39"/>
      <c r="N42" s="11"/>
      <c r="O42" s="11"/>
    </row>
    <row r="43" spans="7:15" ht="14.25" customHeight="1" x14ac:dyDescent="0.35">
      <c r="G43" s="39"/>
      <c r="N43" s="11"/>
      <c r="O43" s="11"/>
    </row>
    <row r="44" spans="7:15" ht="14.25" customHeight="1" x14ac:dyDescent="0.35">
      <c r="G44" s="39"/>
      <c r="N44" s="11"/>
      <c r="O44" s="11"/>
    </row>
    <row r="45" spans="7:15" ht="14.25" customHeight="1" x14ac:dyDescent="0.35">
      <c r="G45" s="39"/>
      <c r="N45" s="11"/>
      <c r="O45" s="11"/>
    </row>
    <row r="46" spans="7:15" ht="14.25" customHeight="1" x14ac:dyDescent="0.35">
      <c r="G46" s="39"/>
      <c r="N46" s="11"/>
      <c r="O46" s="11"/>
    </row>
    <row r="47" spans="7:15" ht="14.25" customHeight="1" x14ac:dyDescent="0.35">
      <c r="G47" s="39"/>
      <c r="N47" s="11"/>
      <c r="O47" s="11"/>
    </row>
    <row r="48" spans="7:15" ht="14.25" customHeight="1" x14ac:dyDescent="0.35">
      <c r="G48" s="39"/>
      <c r="N48" s="11"/>
      <c r="O48" s="11"/>
    </row>
    <row r="49" spans="7:15" ht="14.25" customHeight="1" x14ac:dyDescent="0.35">
      <c r="G49" s="39"/>
      <c r="N49" s="11"/>
      <c r="O49" s="11"/>
    </row>
    <row r="50" spans="7:15" ht="14.25" customHeight="1" x14ac:dyDescent="0.35">
      <c r="G50" s="39"/>
      <c r="N50" s="11"/>
      <c r="O50" s="11"/>
    </row>
    <row r="51" spans="7:15" ht="14.25" customHeight="1" x14ac:dyDescent="0.35">
      <c r="G51" s="39"/>
      <c r="N51" s="11"/>
      <c r="O51" s="11"/>
    </row>
    <row r="52" spans="7:15" ht="14.25" customHeight="1" x14ac:dyDescent="0.35">
      <c r="G52" s="39"/>
      <c r="N52" s="11"/>
      <c r="O52" s="11"/>
    </row>
    <row r="53" spans="7:15" ht="14.25" customHeight="1" x14ac:dyDescent="0.35">
      <c r="G53" s="39"/>
      <c r="N53" s="11"/>
      <c r="O53" s="11"/>
    </row>
    <row r="54" spans="7:15" ht="14.25" customHeight="1" x14ac:dyDescent="0.35">
      <c r="G54" s="39"/>
      <c r="N54" s="11"/>
      <c r="O54" s="11"/>
    </row>
    <row r="55" spans="7:15" ht="14.25" customHeight="1" x14ac:dyDescent="0.35">
      <c r="G55" s="39"/>
      <c r="N55" s="11"/>
      <c r="O55" s="11"/>
    </row>
    <row r="56" spans="7:15" ht="14.25" customHeight="1" x14ac:dyDescent="0.35">
      <c r="G56" s="39"/>
      <c r="N56" s="11"/>
      <c r="O56" s="11"/>
    </row>
    <row r="57" spans="7:15" ht="14.25" customHeight="1" x14ac:dyDescent="0.35">
      <c r="G57" s="39"/>
      <c r="N57" s="11"/>
      <c r="O57" s="11"/>
    </row>
    <row r="58" spans="7:15" ht="14.25" customHeight="1" x14ac:dyDescent="0.35">
      <c r="G58" s="39"/>
      <c r="N58" s="11"/>
      <c r="O58" s="11"/>
    </row>
    <row r="59" spans="7:15" ht="14.25" customHeight="1" x14ac:dyDescent="0.35">
      <c r="G59" s="39"/>
      <c r="N59" s="11"/>
      <c r="O59" s="11"/>
    </row>
    <row r="60" spans="7:15" ht="14.25" customHeight="1" x14ac:dyDescent="0.35">
      <c r="G60" s="39"/>
      <c r="N60" s="11"/>
      <c r="O60" s="11"/>
    </row>
    <row r="61" spans="7:15" ht="14.25" customHeight="1" x14ac:dyDescent="0.35">
      <c r="G61" s="39"/>
      <c r="N61" s="11"/>
      <c r="O61" s="11"/>
    </row>
    <row r="62" spans="7:15" ht="14.25" customHeight="1" x14ac:dyDescent="0.35">
      <c r="G62" s="39"/>
      <c r="N62" s="11"/>
      <c r="O62" s="11"/>
    </row>
    <row r="63" spans="7:15" ht="14.25" customHeight="1" x14ac:dyDescent="0.35">
      <c r="G63" s="39"/>
      <c r="N63" s="11"/>
      <c r="O63" s="11"/>
    </row>
    <row r="64" spans="7:15" ht="14.25" customHeight="1" x14ac:dyDescent="0.35">
      <c r="G64" s="39"/>
      <c r="N64" s="11"/>
      <c r="O64" s="11"/>
    </row>
    <row r="65" spans="7:15" ht="14.25" customHeight="1" x14ac:dyDescent="0.35">
      <c r="G65" s="39"/>
      <c r="N65" s="11"/>
      <c r="O65" s="11"/>
    </row>
    <row r="66" spans="7:15" ht="14.25" customHeight="1" x14ac:dyDescent="0.35">
      <c r="G66" s="39"/>
      <c r="N66" s="11"/>
      <c r="O66" s="11"/>
    </row>
    <row r="67" spans="7:15" ht="14.25" customHeight="1" x14ac:dyDescent="0.35">
      <c r="G67" s="39"/>
      <c r="N67" s="11"/>
      <c r="O67" s="11"/>
    </row>
    <row r="68" spans="7:15" ht="14.25" customHeight="1" x14ac:dyDescent="0.35">
      <c r="G68" s="39"/>
      <c r="N68" s="11"/>
      <c r="O68" s="11"/>
    </row>
    <row r="69" spans="7:15" ht="14.25" customHeight="1" x14ac:dyDescent="0.35">
      <c r="G69" s="39"/>
      <c r="N69" s="11"/>
      <c r="O69" s="11"/>
    </row>
    <row r="70" spans="7:15" ht="14.25" customHeight="1" x14ac:dyDescent="0.35">
      <c r="G70" s="39"/>
      <c r="N70" s="11"/>
      <c r="O70" s="11"/>
    </row>
    <row r="71" spans="7:15" ht="14.25" customHeight="1" x14ac:dyDescent="0.35">
      <c r="G71" s="39"/>
      <c r="N71" s="11"/>
      <c r="O71" s="11"/>
    </row>
    <row r="72" spans="7:15" ht="14.25" customHeight="1" x14ac:dyDescent="0.35">
      <c r="G72" s="39"/>
      <c r="N72" s="11"/>
      <c r="O72" s="11"/>
    </row>
    <row r="73" spans="7:15" ht="14.25" customHeight="1" x14ac:dyDescent="0.35">
      <c r="G73" s="39"/>
      <c r="N73" s="11"/>
      <c r="O73" s="11"/>
    </row>
    <row r="74" spans="7:15" ht="14.25" customHeight="1" x14ac:dyDescent="0.35">
      <c r="G74" s="39"/>
      <c r="N74" s="11"/>
      <c r="O74" s="11"/>
    </row>
    <row r="75" spans="7:15" ht="14.25" customHeight="1" x14ac:dyDescent="0.35">
      <c r="G75" s="39"/>
      <c r="N75" s="11"/>
      <c r="O75" s="11"/>
    </row>
    <row r="76" spans="7:15" ht="14.25" customHeight="1" x14ac:dyDescent="0.35">
      <c r="G76" s="39"/>
      <c r="N76" s="11"/>
      <c r="O76" s="11"/>
    </row>
    <row r="77" spans="7:15" ht="14.25" customHeight="1" x14ac:dyDescent="0.35">
      <c r="G77" s="39"/>
      <c r="N77" s="11"/>
      <c r="O77" s="11"/>
    </row>
    <row r="78" spans="7:15" ht="14.25" customHeight="1" x14ac:dyDescent="0.35">
      <c r="G78" s="39"/>
      <c r="N78" s="11"/>
      <c r="O78" s="11"/>
    </row>
    <row r="79" spans="7:15" ht="14.25" customHeight="1" x14ac:dyDescent="0.35">
      <c r="G79" s="39"/>
      <c r="N79" s="11"/>
      <c r="O79" s="11"/>
    </row>
    <row r="80" spans="7:15" ht="14.25" customHeight="1" x14ac:dyDescent="0.35">
      <c r="G80" s="39"/>
      <c r="N80" s="11"/>
      <c r="O80" s="11"/>
    </row>
    <row r="81" spans="7:15" ht="14.25" customHeight="1" x14ac:dyDescent="0.35">
      <c r="G81" s="39"/>
      <c r="N81" s="11"/>
      <c r="O81" s="11"/>
    </row>
    <row r="82" spans="7:15" ht="14.25" customHeight="1" x14ac:dyDescent="0.35">
      <c r="G82" s="39"/>
      <c r="N82" s="11"/>
      <c r="O82" s="11"/>
    </row>
    <row r="83" spans="7:15" ht="14.25" customHeight="1" x14ac:dyDescent="0.35">
      <c r="G83" s="39"/>
      <c r="N83" s="11"/>
      <c r="O83" s="11"/>
    </row>
    <row r="84" spans="7:15" ht="14.25" customHeight="1" x14ac:dyDescent="0.35">
      <c r="G84" s="39"/>
      <c r="N84" s="11"/>
      <c r="O84" s="11"/>
    </row>
    <row r="85" spans="7:15" ht="14.25" customHeight="1" x14ac:dyDescent="0.35">
      <c r="G85" s="39"/>
      <c r="N85" s="11"/>
      <c r="O85" s="11"/>
    </row>
    <row r="86" spans="7:15" ht="14.25" customHeight="1" x14ac:dyDescent="0.35">
      <c r="G86" s="39"/>
      <c r="N86" s="11"/>
      <c r="O86" s="11"/>
    </row>
    <row r="87" spans="7:15" ht="14.25" customHeight="1" x14ac:dyDescent="0.35">
      <c r="G87" s="39"/>
      <c r="N87" s="11"/>
      <c r="O87" s="11"/>
    </row>
    <row r="88" spans="7:15" ht="14.25" customHeight="1" x14ac:dyDescent="0.35">
      <c r="G88" s="39"/>
      <c r="N88" s="11"/>
      <c r="O88" s="11"/>
    </row>
    <row r="89" spans="7:15" ht="14.25" customHeight="1" x14ac:dyDescent="0.35">
      <c r="G89" s="39"/>
      <c r="N89" s="11"/>
      <c r="O89" s="11"/>
    </row>
    <row r="90" spans="7:15" ht="14.25" customHeight="1" x14ac:dyDescent="0.35">
      <c r="G90" s="39"/>
      <c r="N90" s="11"/>
      <c r="O90" s="11"/>
    </row>
    <row r="91" spans="7:15" ht="14.25" customHeight="1" x14ac:dyDescent="0.35">
      <c r="G91" s="39"/>
      <c r="N91" s="11"/>
      <c r="O91" s="11"/>
    </row>
    <row r="92" spans="7:15" ht="14.25" customHeight="1" x14ac:dyDescent="0.35">
      <c r="G92" s="39"/>
      <c r="N92" s="11"/>
      <c r="O92" s="11"/>
    </row>
    <row r="93" spans="7:15" ht="14.25" customHeight="1" x14ac:dyDescent="0.35">
      <c r="G93" s="39"/>
      <c r="N93" s="11"/>
      <c r="O93" s="11"/>
    </row>
    <row r="94" spans="7:15" ht="14.25" customHeight="1" x14ac:dyDescent="0.35">
      <c r="G94" s="39"/>
      <c r="N94" s="11"/>
      <c r="O94" s="11"/>
    </row>
    <row r="95" spans="7:15" ht="14.25" customHeight="1" x14ac:dyDescent="0.35">
      <c r="G95" s="39"/>
      <c r="N95" s="11"/>
      <c r="O95" s="11"/>
    </row>
    <row r="96" spans="7:15" ht="14.25" customHeight="1" x14ac:dyDescent="0.35">
      <c r="G96" s="39"/>
      <c r="N96" s="11"/>
      <c r="O96" s="11"/>
    </row>
    <row r="97" spans="7:15" ht="14.25" customHeight="1" x14ac:dyDescent="0.35">
      <c r="G97" s="39"/>
      <c r="N97" s="11"/>
      <c r="O97" s="11"/>
    </row>
    <row r="98" spans="7:15" ht="14.25" customHeight="1" x14ac:dyDescent="0.35">
      <c r="G98" s="39"/>
      <c r="N98" s="11"/>
      <c r="O98" s="11"/>
    </row>
    <row r="99" spans="7:15" ht="14.25" customHeight="1" x14ac:dyDescent="0.35">
      <c r="G99" s="39"/>
      <c r="N99" s="11"/>
      <c r="O99" s="11"/>
    </row>
    <row r="100" spans="7:15" ht="14.25" customHeight="1" x14ac:dyDescent="0.35">
      <c r="G100" s="39"/>
      <c r="N100" s="11"/>
      <c r="O100" s="11"/>
    </row>
    <row r="101" spans="7:15" ht="14.25" customHeight="1" x14ac:dyDescent="0.35">
      <c r="G101" s="39"/>
      <c r="N101" s="11"/>
      <c r="O101" s="11"/>
    </row>
    <row r="102" spans="7:15" ht="14.25" customHeight="1" x14ac:dyDescent="0.35">
      <c r="G102" s="39"/>
      <c r="N102" s="11"/>
      <c r="O102" s="11"/>
    </row>
    <row r="103" spans="7:15" ht="14.25" customHeight="1" x14ac:dyDescent="0.35">
      <c r="G103" s="39"/>
      <c r="N103" s="11"/>
      <c r="O103" s="11"/>
    </row>
    <row r="104" spans="7:15" ht="14.25" customHeight="1" x14ac:dyDescent="0.35">
      <c r="G104" s="39"/>
      <c r="N104" s="11"/>
      <c r="O104" s="11"/>
    </row>
    <row r="105" spans="7:15" ht="14.25" customHeight="1" x14ac:dyDescent="0.35">
      <c r="G105" s="39"/>
      <c r="N105" s="11"/>
      <c r="O105" s="11"/>
    </row>
    <row r="106" spans="7:15" ht="14.25" customHeight="1" x14ac:dyDescent="0.35">
      <c r="G106" s="39"/>
      <c r="N106" s="11"/>
      <c r="O106" s="11"/>
    </row>
    <row r="107" spans="7:15" ht="14.25" customHeight="1" x14ac:dyDescent="0.35">
      <c r="G107" s="39"/>
      <c r="N107" s="11"/>
      <c r="O107" s="11"/>
    </row>
    <row r="108" spans="7:15" ht="14.25" customHeight="1" x14ac:dyDescent="0.35">
      <c r="G108" s="39"/>
      <c r="N108" s="11"/>
      <c r="O108" s="11"/>
    </row>
    <row r="109" spans="7:15" ht="14.25" customHeight="1" x14ac:dyDescent="0.35">
      <c r="G109" s="39"/>
      <c r="N109" s="11"/>
      <c r="O109" s="11"/>
    </row>
    <row r="110" spans="7:15" ht="14.25" customHeight="1" x14ac:dyDescent="0.35">
      <c r="G110" s="39"/>
      <c r="N110" s="11"/>
      <c r="O110" s="11"/>
    </row>
    <row r="111" spans="7:15" ht="14.25" customHeight="1" x14ac:dyDescent="0.35">
      <c r="G111" s="39"/>
      <c r="N111" s="11"/>
      <c r="O111" s="11"/>
    </row>
    <row r="112" spans="7:15" ht="14.25" customHeight="1" x14ac:dyDescent="0.35">
      <c r="G112" s="39"/>
      <c r="N112" s="11"/>
      <c r="O112" s="11"/>
    </row>
    <row r="113" spans="7:15" ht="14.25" customHeight="1" x14ac:dyDescent="0.35">
      <c r="G113" s="39"/>
      <c r="N113" s="11"/>
      <c r="O113" s="11"/>
    </row>
    <row r="114" spans="7:15" ht="14.25" customHeight="1" x14ac:dyDescent="0.35">
      <c r="G114" s="39"/>
      <c r="N114" s="11"/>
      <c r="O114" s="11"/>
    </row>
    <row r="115" spans="7:15" ht="14.25" customHeight="1" x14ac:dyDescent="0.35">
      <c r="G115" s="39"/>
      <c r="N115" s="11"/>
      <c r="O115" s="11"/>
    </row>
    <row r="116" spans="7:15" ht="14.25" customHeight="1" x14ac:dyDescent="0.35">
      <c r="G116" s="39"/>
      <c r="N116" s="11"/>
      <c r="O116" s="11"/>
    </row>
    <row r="117" spans="7:15" ht="14.25" customHeight="1" x14ac:dyDescent="0.35">
      <c r="G117" s="39"/>
      <c r="N117" s="11"/>
      <c r="O117" s="11"/>
    </row>
    <row r="118" spans="7:15" ht="14.25" customHeight="1" x14ac:dyDescent="0.35">
      <c r="G118" s="39"/>
      <c r="N118" s="11"/>
      <c r="O118" s="11"/>
    </row>
    <row r="119" spans="7:15" ht="14.25" customHeight="1" x14ac:dyDescent="0.35">
      <c r="G119" s="39"/>
      <c r="N119" s="11"/>
      <c r="O119" s="11"/>
    </row>
    <row r="120" spans="7:15" ht="14.25" customHeight="1" x14ac:dyDescent="0.35">
      <c r="G120" s="39"/>
      <c r="N120" s="11"/>
      <c r="O120" s="11"/>
    </row>
    <row r="121" spans="7:15" ht="14.25" customHeight="1" x14ac:dyDescent="0.35">
      <c r="G121" s="39"/>
      <c r="N121" s="11"/>
      <c r="O121" s="11"/>
    </row>
    <row r="122" spans="7:15" ht="14.25" customHeight="1" x14ac:dyDescent="0.35">
      <c r="G122" s="39"/>
      <c r="N122" s="11"/>
      <c r="O122" s="11"/>
    </row>
    <row r="123" spans="7:15" ht="14.25" customHeight="1" x14ac:dyDescent="0.35">
      <c r="G123" s="39"/>
      <c r="N123" s="11"/>
      <c r="O123" s="11"/>
    </row>
    <row r="124" spans="7:15" ht="14.25" customHeight="1" x14ac:dyDescent="0.35">
      <c r="G124" s="39"/>
      <c r="N124" s="11"/>
      <c r="O124" s="11"/>
    </row>
    <row r="125" spans="7:15" ht="14.25" customHeight="1" x14ac:dyDescent="0.35">
      <c r="G125" s="39"/>
      <c r="N125" s="11"/>
      <c r="O125" s="11"/>
    </row>
    <row r="126" spans="7:15" ht="14.25" customHeight="1" x14ac:dyDescent="0.35">
      <c r="G126" s="39"/>
      <c r="N126" s="11"/>
      <c r="O126" s="11"/>
    </row>
    <row r="127" spans="7:15" ht="14.25" customHeight="1" x14ac:dyDescent="0.35">
      <c r="G127" s="39"/>
      <c r="N127" s="11"/>
      <c r="O127" s="11"/>
    </row>
    <row r="128" spans="7:15" ht="14.25" customHeight="1" x14ac:dyDescent="0.35">
      <c r="G128" s="39"/>
      <c r="N128" s="11"/>
      <c r="O128" s="11"/>
    </row>
    <row r="129" spans="7:15" ht="14.25" customHeight="1" x14ac:dyDescent="0.35">
      <c r="G129" s="39"/>
      <c r="N129" s="11"/>
      <c r="O129" s="11"/>
    </row>
    <row r="130" spans="7:15" ht="14.25" customHeight="1" x14ac:dyDescent="0.35">
      <c r="G130" s="39"/>
      <c r="N130" s="11"/>
      <c r="O130" s="11"/>
    </row>
    <row r="131" spans="7:15" ht="14.25" customHeight="1" x14ac:dyDescent="0.35">
      <c r="G131" s="39"/>
      <c r="N131" s="11"/>
      <c r="O131" s="11"/>
    </row>
    <row r="132" spans="7:15" ht="14.25" customHeight="1" x14ac:dyDescent="0.35">
      <c r="G132" s="39"/>
      <c r="N132" s="11"/>
      <c r="O132" s="11"/>
    </row>
    <row r="133" spans="7:15" ht="14.25" customHeight="1" x14ac:dyDescent="0.35">
      <c r="G133" s="39"/>
      <c r="N133" s="11"/>
      <c r="O133" s="11"/>
    </row>
    <row r="134" spans="7:15" ht="14.25" customHeight="1" x14ac:dyDescent="0.35">
      <c r="G134" s="39"/>
      <c r="N134" s="11"/>
      <c r="O134" s="11"/>
    </row>
    <row r="135" spans="7:15" ht="14.25" customHeight="1" x14ac:dyDescent="0.35">
      <c r="G135" s="39"/>
      <c r="N135" s="11"/>
      <c r="O135" s="11"/>
    </row>
    <row r="136" spans="7:15" ht="14.25" customHeight="1" x14ac:dyDescent="0.35">
      <c r="G136" s="39"/>
      <c r="N136" s="11"/>
      <c r="O136" s="11"/>
    </row>
    <row r="137" spans="7:15" ht="14.25" customHeight="1" x14ac:dyDescent="0.35">
      <c r="G137" s="39"/>
      <c r="N137" s="11"/>
      <c r="O137" s="11"/>
    </row>
    <row r="138" spans="7:15" ht="14.25" customHeight="1" x14ac:dyDescent="0.35">
      <c r="G138" s="39"/>
      <c r="N138" s="11"/>
      <c r="O138" s="11"/>
    </row>
    <row r="139" spans="7:15" ht="14.25" customHeight="1" x14ac:dyDescent="0.35">
      <c r="G139" s="39"/>
      <c r="N139" s="11"/>
      <c r="O139" s="11"/>
    </row>
    <row r="140" spans="7:15" ht="14.25" customHeight="1" x14ac:dyDescent="0.35">
      <c r="G140" s="39"/>
      <c r="N140" s="11"/>
      <c r="O140" s="11"/>
    </row>
    <row r="141" spans="7:15" ht="14.25" customHeight="1" x14ac:dyDescent="0.35">
      <c r="G141" s="39"/>
      <c r="N141" s="11"/>
      <c r="O141" s="11"/>
    </row>
    <row r="142" spans="7:15" ht="14.25" customHeight="1" x14ac:dyDescent="0.35">
      <c r="G142" s="39"/>
      <c r="N142" s="11"/>
      <c r="O142" s="11"/>
    </row>
    <row r="143" spans="7:15" ht="14.25" customHeight="1" x14ac:dyDescent="0.35">
      <c r="G143" s="39"/>
      <c r="N143" s="11"/>
      <c r="O143" s="11"/>
    </row>
    <row r="144" spans="7:15" ht="14.25" customHeight="1" x14ac:dyDescent="0.35">
      <c r="G144" s="39"/>
      <c r="N144" s="11"/>
      <c r="O144" s="11"/>
    </row>
    <row r="145" spans="7:15" ht="14.25" customHeight="1" x14ac:dyDescent="0.35">
      <c r="G145" s="39"/>
      <c r="N145" s="11"/>
      <c r="O145" s="11"/>
    </row>
    <row r="146" spans="7:15" ht="14.25" customHeight="1" x14ac:dyDescent="0.35">
      <c r="G146" s="39"/>
      <c r="N146" s="11"/>
      <c r="O146" s="11"/>
    </row>
    <row r="147" spans="7:15" ht="14.25" customHeight="1" x14ac:dyDescent="0.35">
      <c r="G147" s="39"/>
      <c r="N147" s="11"/>
      <c r="O147" s="11"/>
    </row>
    <row r="148" spans="7:15" ht="14.25" customHeight="1" x14ac:dyDescent="0.35">
      <c r="G148" s="39"/>
      <c r="N148" s="11"/>
      <c r="O148" s="11"/>
    </row>
    <row r="149" spans="7:15" ht="14.25" customHeight="1" x14ac:dyDescent="0.35">
      <c r="G149" s="39"/>
      <c r="N149" s="11"/>
      <c r="O149" s="11"/>
    </row>
    <row r="150" spans="7:15" ht="14.25" customHeight="1" x14ac:dyDescent="0.35">
      <c r="G150" s="39"/>
      <c r="N150" s="11"/>
      <c r="O150" s="11"/>
    </row>
    <row r="151" spans="7:15" ht="14.25" customHeight="1" x14ac:dyDescent="0.35">
      <c r="G151" s="39"/>
      <c r="N151" s="11"/>
      <c r="O151" s="11"/>
    </row>
    <row r="152" spans="7:15" ht="14.25" customHeight="1" x14ac:dyDescent="0.35">
      <c r="G152" s="39"/>
      <c r="N152" s="11"/>
      <c r="O152" s="11"/>
    </row>
    <row r="153" spans="7:15" ht="14.25" customHeight="1" x14ac:dyDescent="0.35">
      <c r="G153" s="39"/>
      <c r="N153" s="11"/>
      <c r="O153" s="11"/>
    </row>
    <row r="154" spans="7:15" ht="14.25" customHeight="1" x14ac:dyDescent="0.35">
      <c r="G154" s="39"/>
      <c r="N154" s="11"/>
      <c r="O154" s="11"/>
    </row>
    <row r="155" spans="7:15" ht="14.25" customHeight="1" x14ac:dyDescent="0.35">
      <c r="G155" s="39"/>
      <c r="N155" s="11"/>
      <c r="O155" s="11"/>
    </row>
    <row r="156" spans="7:15" ht="14.25" customHeight="1" x14ac:dyDescent="0.35">
      <c r="G156" s="39"/>
      <c r="N156" s="11"/>
      <c r="O156" s="11"/>
    </row>
    <row r="157" spans="7:15" ht="14.25" customHeight="1" x14ac:dyDescent="0.35">
      <c r="G157" s="39"/>
      <c r="N157" s="11"/>
      <c r="O157" s="11"/>
    </row>
    <row r="158" spans="7:15" ht="14.25" customHeight="1" x14ac:dyDescent="0.35">
      <c r="G158" s="39"/>
      <c r="N158" s="11"/>
      <c r="O158" s="11"/>
    </row>
    <row r="159" spans="7:15" ht="14.25" customHeight="1" x14ac:dyDescent="0.35">
      <c r="G159" s="39"/>
      <c r="N159" s="11"/>
      <c r="O159" s="11"/>
    </row>
    <row r="160" spans="7:15" ht="14.25" customHeight="1" x14ac:dyDescent="0.35">
      <c r="G160" s="39"/>
      <c r="N160" s="11"/>
      <c r="O160" s="11"/>
    </row>
    <row r="161" spans="7:15" ht="14.25" customHeight="1" x14ac:dyDescent="0.35">
      <c r="G161" s="39"/>
      <c r="N161" s="11"/>
      <c r="O161" s="11"/>
    </row>
    <row r="162" spans="7:15" ht="14.25" customHeight="1" x14ac:dyDescent="0.35">
      <c r="G162" s="39"/>
      <c r="N162" s="11"/>
      <c r="O162" s="11"/>
    </row>
    <row r="163" spans="7:15" ht="14.25" customHeight="1" x14ac:dyDescent="0.35">
      <c r="G163" s="39"/>
      <c r="N163" s="11"/>
      <c r="O163" s="11"/>
    </row>
    <row r="164" spans="7:15" ht="14.25" customHeight="1" x14ac:dyDescent="0.35">
      <c r="G164" s="39"/>
      <c r="N164" s="11"/>
      <c r="O164" s="11"/>
    </row>
    <row r="165" spans="7:15" ht="14.25" customHeight="1" x14ac:dyDescent="0.35">
      <c r="G165" s="39"/>
      <c r="N165" s="11"/>
      <c r="O165" s="11"/>
    </row>
    <row r="166" spans="7:15" ht="14.25" customHeight="1" x14ac:dyDescent="0.35">
      <c r="G166" s="39"/>
      <c r="N166" s="11"/>
      <c r="O166" s="11"/>
    </row>
    <row r="167" spans="7:15" ht="14.25" customHeight="1" x14ac:dyDescent="0.35">
      <c r="G167" s="39"/>
      <c r="N167" s="11"/>
      <c r="O167" s="11"/>
    </row>
    <row r="168" spans="7:15" ht="14.25" customHeight="1" x14ac:dyDescent="0.35">
      <c r="G168" s="39"/>
      <c r="N168" s="11"/>
      <c r="O168" s="11"/>
    </row>
    <row r="169" spans="7:15" ht="14.25" customHeight="1" x14ac:dyDescent="0.35">
      <c r="G169" s="39"/>
      <c r="N169" s="11"/>
      <c r="O169" s="11"/>
    </row>
    <row r="170" spans="7:15" ht="14.25" customHeight="1" x14ac:dyDescent="0.35">
      <c r="G170" s="39"/>
      <c r="N170" s="11"/>
      <c r="O170" s="11"/>
    </row>
    <row r="171" spans="7:15" ht="14.25" customHeight="1" x14ac:dyDescent="0.35">
      <c r="G171" s="39"/>
      <c r="N171" s="11"/>
      <c r="O171" s="11"/>
    </row>
    <row r="172" spans="7:15" ht="14.25" customHeight="1" x14ac:dyDescent="0.35">
      <c r="G172" s="39"/>
      <c r="N172" s="11"/>
      <c r="O172" s="11"/>
    </row>
    <row r="173" spans="7:15" ht="14.25" customHeight="1" x14ac:dyDescent="0.35">
      <c r="G173" s="39"/>
      <c r="N173" s="11"/>
      <c r="O173" s="11"/>
    </row>
    <row r="174" spans="7:15" ht="14.25" customHeight="1" x14ac:dyDescent="0.35">
      <c r="G174" s="39"/>
      <c r="N174" s="11"/>
      <c r="O174" s="11"/>
    </row>
    <row r="175" spans="7:15" ht="14.25" customHeight="1" x14ac:dyDescent="0.35">
      <c r="G175" s="39"/>
      <c r="N175" s="11"/>
      <c r="O175" s="11"/>
    </row>
    <row r="176" spans="7:15" ht="14.25" customHeight="1" x14ac:dyDescent="0.35">
      <c r="G176" s="39"/>
      <c r="N176" s="11"/>
      <c r="O176" s="11"/>
    </row>
    <row r="177" spans="7:15" ht="14.25" customHeight="1" x14ac:dyDescent="0.35">
      <c r="G177" s="39"/>
      <c r="N177" s="11"/>
      <c r="O177" s="11"/>
    </row>
    <row r="178" spans="7:15" ht="14.25" customHeight="1" x14ac:dyDescent="0.35">
      <c r="G178" s="39"/>
      <c r="N178" s="11"/>
      <c r="O178" s="11"/>
    </row>
    <row r="179" spans="7:15" ht="14.25" customHeight="1" x14ac:dyDescent="0.35">
      <c r="G179" s="39"/>
      <c r="N179" s="11"/>
      <c r="O179" s="11"/>
    </row>
    <row r="180" spans="7:15" ht="14.25" customHeight="1" x14ac:dyDescent="0.35">
      <c r="G180" s="39"/>
      <c r="N180" s="11"/>
      <c r="O180" s="11"/>
    </row>
    <row r="181" spans="7:15" ht="14.25" customHeight="1" x14ac:dyDescent="0.35">
      <c r="G181" s="39"/>
      <c r="N181" s="11"/>
      <c r="O181" s="11"/>
    </row>
    <row r="182" spans="7:15" ht="14.25" customHeight="1" x14ac:dyDescent="0.35">
      <c r="G182" s="39"/>
      <c r="N182" s="11"/>
      <c r="O182" s="11"/>
    </row>
    <row r="183" spans="7:15" ht="14.25" customHeight="1" x14ac:dyDescent="0.35">
      <c r="G183" s="39"/>
      <c r="N183" s="11"/>
      <c r="O183" s="11"/>
    </row>
    <row r="184" spans="7:15" ht="14.25" customHeight="1" x14ac:dyDescent="0.35">
      <c r="G184" s="39"/>
      <c r="N184" s="11"/>
      <c r="O184" s="11"/>
    </row>
    <row r="185" spans="7:15" ht="14.25" customHeight="1" x14ac:dyDescent="0.35">
      <c r="G185" s="39"/>
      <c r="N185" s="11"/>
      <c r="O185" s="11"/>
    </row>
    <row r="186" spans="7:15" ht="14.25" customHeight="1" x14ac:dyDescent="0.35">
      <c r="G186" s="39"/>
      <c r="N186" s="11"/>
      <c r="O186" s="11"/>
    </row>
    <row r="187" spans="7:15" ht="14.25" customHeight="1" x14ac:dyDescent="0.35">
      <c r="G187" s="39"/>
      <c r="N187" s="11"/>
      <c r="O187" s="11"/>
    </row>
    <row r="188" spans="7:15" ht="14.25" customHeight="1" x14ac:dyDescent="0.35">
      <c r="G188" s="39"/>
      <c r="N188" s="11"/>
      <c r="O188" s="11"/>
    </row>
    <row r="189" spans="7:15" ht="14.25" customHeight="1" x14ac:dyDescent="0.35">
      <c r="G189" s="39"/>
      <c r="N189" s="11"/>
      <c r="O189" s="11"/>
    </row>
    <row r="190" spans="7:15" ht="14.25" customHeight="1" x14ac:dyDescent="0.35">
      <c r="G190" s="39"/>
      <c r="N190" s="11"/>
      <c r="O190" s="11"/>
    </row>
    <row r="191" spans="7:15" ht="14.25" customHeight="1" x14ac:dyDescent="0.35">
      <c r="G191" s="39"/>
      <c r="N191" s="11"/>
      <c r="O191" s="11"/>
    </row>
    <row r="192" spans="7:15" ht="14.25" customHeight="1" x14ac:dyDescent="0.35">
      <c r="G192" s="39"/>
      <c r="N192" s="11"/>
      <c r="O192" s="11"/>
    </row>
    <row r="193" spans="7:15" ht="14.25" customHeight="1" x14ac:dyDescent="0.35">
      <c r="G193" s="39"/>
      <c r="N193" s="11"/>
      <c r="O193" s="11"/>
    </row>
    <row r="194" spans="7:15" ht="14.25" customHeight="1" x14ac:dyDescent="0.35">
      <c r="G194" s="39"/>
      <c r="N194" s="11"/>
      <c r="O194" s="11"/>
    </row>
    <row r="195" spans="7:15" ht="14.25" customHeight="1" x14ac:dyDescent="0.35">
      <c r="G195" s="39"/>
      <c r="N195" s="11"/>
      <c r="O195" s="11"/>
    </row>
    <row r="196" spans="7:15" ht="14.25" customHeight="1" x14ac:dyDescent="0.35">
      <c r="G196" s="39"/>
      <c r="N196" s="11"/>
      <c r="O196" s="11"/>
    </row>
    <row r="197" spans="7:15" ht="14.25" customHeight="1" x14ac:dyDescent="0.35">
      <c r="G197" s="39"/>
      <c r="N197" s="11"/>
      <c r="O197" s="11"/>
    </row>
    <row r="198" spans="7:15" ht="14.25" customHeight="1" x14ac:dyDescent="0.35">
      <c r="G198" s="39"/>
      <c r="N198" s="11"/>
      <c r="O198" s="11"/>
    </row>
    <row r="199" spans="7:15" ht="14.25" customHeight="1" x14ac:dyDescent="0.35">
      <c r="G199" s="39"/>
      <c r="N199" s="11"/>
      <c r="O199" s="11"/>
    </row>
    <row r="200" spans="7:15" ht="14.25" customHeight="1" x14ac:dyDescent="0.35">
      <c r="G200" s="39"/>
      <c r="N200" s="11"/>
      <c r="O200" s="11"/>
    </row>
    <row r="201" spans="7:15" ht="14.25" customHeight="1" x14ac:dyDescent="0.35">
      <c r="G201" s="39"/>
      <c r="N201" s="11"/>
      <c r="O201" s="11"/>
    </row>
    <row r="202" spans="7:15" ht="14.25" customHeight="1" x14ac:dyDescent="0.35">
      <c r="G202" s="39"/>
      <c r="N202" s="11"/>
      <c r="O202" s="11"/>
    </row>
    <row r="203" spans="7:15" ht="14.25" customHeight="1" x14ac:dyDescent="0.35">
      <c r="G203" s="39"/>
      <c r="N203" s="11"/>
      <c r="O203" s="11"/>
    </row>
    <row r="204" spans="7:15" ht="14.25" customHeight="1" x14ac:dyDescent="0.35">
      <c r="G204" s="39"/>
      <c r="N204" s="11"/>
      <c r="O204" s="11"/>
    </row>
    <row r="205" spans="7:15" ht="14.25" customHeight="1" x14ac:dyDescent="0.35">
      <c r="G205" s="39"/>
      <c r="N205" s="11"/>
      <c r="O205" s="11"/>
    </row>
    <row r="206" spans="7:15" ht="14.25" customHeight="1" x14ac:dyDescent="0.35">
      <c r="G206" s="39"/>
      <c r="N206" s="11"/>
      <c r="O206" s="11"/>
    </row>
    <row r="207" spans="7:15" ht="14.25" customHeight="1" x14ac:dyDescent="0.35">
      <c r="G207" s="39"/>
      <c r="N207" s="11"/>
      <c r="O207" s="11"/>
    </row>
    <row r="208" spans="7:15" ht="14.25" customHeight="1" x14ac:dyDescent="0.35">
      <c r="G208" s="39"/>
      <c r="N208" s="11"/>
      <c r="O208" s="11"/>
    </row>
    <row r="209" spans="7:15" ht="14.25" customHeight="1" x14ac:dyDescent="0.35">
      <c r="G209" s="39"/>
      <c r="N209" s="11"/>
      <c r="O209" s="11"/>
    </row>
    <row r="210" spans="7:15" ht="14.25" customHeight="1" x14ac:dyDescent="0.35">
      <c r="G210" s="39"/>
      <c r="N210" s="11"/>
      <c r="O210" s="11"/>
    </row>
    <row r="211" spans="7:15" ht="14.25" customHeight="1" x14ac:dyDescent="0.35">
      <c r="G211" s="39"/>
      <c r="N211" s="11"/>
      <c r="O211" s="11"/>
    </row>
    <row r="212" spans="7:15" ht="14.25" customHeight="1" x14ac:dyDescent="0.35">
      <c r="G212" s="39"/>
      <c r="N212" s="11"/>
      <c r="O212" s="11"/>
    </row>
    <row r="213" spans="7:15" ht="14.25" customHeight="1" x14ac:dyDescent="0.35">
      <c r="G213" s="39"/>
      <c r="N213" s="11"/>
      <c r="O213" s="11"/>
    </row>
    <row r="214" spans="7:15" ht="14.25" customHeight="1" x14ac:dyDescent="0.35">
      <c r="G214" s="39"/>
      <c r="N214" s="11"/>
      <c r="O214" s="11"/>
    </row>
    <row r="215" spans="7:15" ht="14.25" customHeight="1" x14ac:dyDescent="0.35">
      <c r="G215" s="39"/>
      <c r="N215" s="11"/>
      <c r="O215" s="11"/>
    </row>
    <row r="216" spans="7:15" ht="14.25" customHeight="1" x14ac:dyDescent="0.35">
      <c r="G216" s="39"/>
      <c r="N216" s="11"/>
      <c r="O216" s="11"/>
    </row>
    <row r="217" spans="7:15" ht="14.25" customHeight="1" x14ac:dyDescent="0.35">
      <c r="G217" s="39"/>
      <c r="N217" s="11"/>
      <c r="O217" s="11"/>
    </row>
    <row r="218" spans="7:15" ht="14.25" customHeight="1" x14ac:dyDescent="0.35">
      <c r="G218" s="39"/>
      <c r="N218" s="11"/>
      <c r="O218" s="11"/>
    </row>
    <row r="219" spans="7:15" ht="14.25" customHeight="1" x14ac:dyDescent="0.35">
      <c r="G219" s="39"/>
      <c r="N219" s="11"/>
      <c r="O219" s="11"/>
    </row>
    <row r="220" spans="7:15" ht="14.25" customHeight="1" x14ac:dyDescent="0.35">
      <c r="G220" s="39"/>
      <c r="N220" s="11"/>
      <c r="O220" s="11"/>
    </row>
    <row r="221" spans="7:15" ht="14.25" customHeight="1" x14ac:dyDescent="0.35">
      <c r="G221" s="39"/>
      <c r="N221" s="11"/>
      <c r="O221" s="11"/>
    </row>
    <row r="222" spans="7:15" ht="14.25" customHeight="1" x14ac:dyDescent="0.35">
      <c r="G222" s="39"/>
      <c r="N222" s="11"/>
      <c r="O222" s="11"/>
    </row>
    <row r="223" spans="7:15" ht="14.25" customHeight="1" x14ac:dyDescent="0.35">
      <c r="G223" s="39"/>
      <c r="N223" s="11"/>
      <c r="O223" s="11"/>
    </row>
    <row r="224" spans="7:15" ht="14.25" customHeight="1" x14ac:dyDescent="0.35">
      <c r="G224" s="39"/>
      <c r="N224" s="11"/>
      <c r="O224" s="11"/>
    </row>
    <row r="225" spans="7:15" ht="14.25" customHeight="1" x14ac:dyDescent="0.35">
      <c r="G225" s="39"/>
      <c r="N225" s="11"/>
      <c r="O225" s="11"/>
    </row>
    <row r="226" spans="7:15" ht="14.25" customHeight="1" x14ac:dyDescent="0.35">
      <c r="G226" s="39"/>
      <c r="N226" s="11"/>
      <c r="O226" s="11"/>
    </row>
    <row r="227" spans="7:15" ht="14.25" customHeight="1" x14ac:dyDescent="0.35">
      <c r="G227" s="39"/>
      <c r="N227" s="11"/>
      <c r="O227" s="11"/>
    </row>
    <row r="228" spans="7:15" ht="14.25" customHeight="1" x14ac:dyDescent="0.35">
      <c r="G228" s="39"/>
      <c r="N228" s="11"/>
      <c r="O228" s="11"/>
    </row>
    <row r="229" spans="7:15" ht="14.25" customHeight="1" x14ac:dyDescent="0.35">
      <c r="G229" s="39"/>
      <c r="N229" s="11"/>
      <c r="O229" s="11"/>
    </row>
    <row r="230" spans="7:15" ht="14.25" customHeight="1" x14ac:dyDescent="0.35">
      <c r="G230" s="39"/>
      <c r="N230" s="11"/>
      <c r="O230" s="11"/>
    </row>
    <row r="231" spans="7:15" ht="14.25" customHeight="1" x14ac:dyDescent="0.35">
      <c r="G231" s="39"/>
      <c r="N231" s="11"/>
      <c r="O231" s="11"/>
    </row>
    <row r="232" spans="7:15" ht="14.25" customHeight="1" x14ac:dyDescent="0.35">
      <c r="G232" s="39"/>
      <c r="N232" s="11"/>
      <c r="O232" s="11"/>
    </row>
    <row r="233" spans="7:15" ht="14.25" customHeight="1" x14ac:dyDescent="0.35">
      <c r="G233" s="39"/>
      <c r="N233" s="11"/>
      <c r="O233" s="11"/>
    </row>
    <row r="234" spans="7:15" ht="14.25" customHeight="1" x14ac:dyDescent="0.35">
      <c r="G234" s="39"/>
      <c r="N234" s="11"/>
      <c r="O234" s="11"/>
    </row>
    <row r="235" spans="7:15" ht="14.25" customHeight="1" x14ac:dyDescent="0.35">
      <c r="G235" s="39"/>
      <c r="N235" s="11"/>
      <c r="O235" s="11"/>
    </row>
    <row r="236" spans="7:15" ht="14.25" customHeight="1" x14ac:dyDescent="0.35">
      <c r="G236" s="39"/>
      <c r="N236" s="11"/>
      <c r="O236" s="11"/>
    </row>
    <row r="237" spans="7:15" ht="14.25" customHeight="1" x14ac:dyDescent="0.35">
      <c r="G237" s="39"/>
      <c r="N237" s="11"/>
      <c r="O237" s="11"/>
    </row>
    <row r="238" spans="7:15" ht="14.25" customHeight="1" x14ac:dyDescent="0.35">
      <c r="G238" s="39"/>
      <c r="N238" s="11"/>
      <c r="O238" s="11"/>
    </row>
    <row r="239" spans="7:15" ht="14.25" customHeight="1" x14ac:dyDescent="0.35">
      <c r="G239" s="39"/>
      <c r="N239" s="11"/>
      <c r="O239" s="11"/>
    </row>
    <row r="240" spans="7:15" ht="14.25" customHeight="1" x14ac:dyDescent="0.35">
      <c r="G240" s="39"/>
      <c r="N240" s="11"/>
      <c r="O240" s="11"/>
    </row>
    <row r="241" spans="7:15" ht="14.25" customHeight="1" x14ac:dyDescent="0.35">
      <c r="G241" s="39"/>
      <c r="N241" s="11"/>
      <c r="O241" s="11"/>
    </row>
    <row r="242" spans="7:15" ht="14.25" customHeight="1" x14ac:dyDescent="0.35">
      <c r="G242" s="39"/>
      <c r="N242" s="11"/>
      <c r="O242" s="11"/>
    </row>
    <row r="243" spans="7:15" ht="14.25" customHeight="1" x14ac:dyDescent="0.35">
      <c r="G243" s="39"/>
      <c r="N243" s="11"/>
      <c r="O243" s="11"/>
    </row>
    <row r="244" spans="7:15" ht="14.25" customHeight="1" x14ac:dyDescent="0.35">
      <c r="G244" s="39"/>
      <c r="N244" s="11"/>
      <c r="O244" s="11"/>
    </row>
    <row r="245" spans="7:15" ht="14.25" customHeight="1" x14ac:dyDescent="0.35">
      <c r="G245" s="39"/>
      <c r="N245" s="11"/>
      <c r="O245" s="11"/>
    </row>
    <row r="246" spans="7:15" ht="14.25" customHeight="1" x14ac:dyDescent="0.35">
      <c r="G246" s="39"/>
      <c r="N246" s="11"/>
      <c r="O246" s="11"/>
    </row>
    <row r="247" spans="7:15" ht="14.25" customHeight="1" x14ac:dyDescent="0.35">
      <c r="G247" s="39"/>
      <c r="N247" s="11"/>
      <c r="O247" s="11"/>
    </row>
    <row r="248" spans="7:15" ht="14.25" customHeight="1" x14ac:dyDescent="0.35">
      <c r="G248" s="39"/>
      <c r="N248" s="11"/>
      <c r="O248" s="11"/>
    </row>
    <row r="249" spans="7:15" ht="14.25" customHeight="1" x14ac:dyDescent="0.35">
      <c r="G249" s="39"/>
      <c r="N249" s="11"/>
      <c r="O249" s="11"/>
    </row>
    <row r="250" spans="7:15" ht="14.25" customHeight="1" x14ac:dyDescent="0.35">
      <c r="G250" s="39"/>
      <c r="N250" s="11"/>
      <c r="O250" s="11"/>
    </row>
    <row r="251" spans="7:15" ht="14.25" customHeight="1" x14ac:dyDescent="0.35">
      <c r="G251" s="39"/>
      <c r="N251" s="11"/>
      <c r="O251" s="11"/>
    </row>
    <row r="252" spans="7:15" ht="14.25" customHeight="1" x14ac:dyDescent="0.35">
      <c r="G252" s="39"/>
      <c r="N252" s="11"/>
      <c r="O252" s="11"/>
    </row>
    <row r="253" spans="7:15" ht="14.25" customHeight="1" x14ac:dyDescent="0.35">
      <c r="G253" s="39"/>
      <c r="N253" s="11"/>
      <c r="O253" s="11"/>
    </row>
    <row r="254" spans="7:15" ht="14.25" customHeight="1" x14ac:dyDescent="0.35">
      <c r="G254" s="39"/>
      <c r="N254" s="11"/>
      <c r="O254" s="11"/>
    </row>
    <row r="255" spans="7:15" ht="14.25" customHeight="1" x14ac:dyDescent="0.35">
      <c r="G255" s="39"/>
      <c r="N255" s="11"/>
      <c r="O255" s="11"/>
    </row>
    <row r="256" spans="7:15" ht="14.25" customHeight="1" x14ac:dyDescent="0.35">
      <c r="G256" s="39"/>
      <c r="N256" s="11"/>
      <c r="O256" s="11"/>
    </row>
    <row r="257" spans="7:15" ht="14.25" customHeight="1" x14ac:dyDescent="0.35">
      <c r="G257" s="39"/>
      <c r="N257" s="11"/>
      <c r="O257" s="11"/>
    </row>
    <row r="258" spans="7:15" ht="14.25" customHeight="1" x14ac:dyDescent="0.35">
      <c r="G258" s="39"/>
      <c r="N258" s="11"/>
      <c r="O258" s="11"/>
    </row>
    <row r="259" spans="7:15" ht="14.25" customHeight="1" x14ac:dyDescent="0.35">
      <c r="G259" s="39"/>
      <c r="N259" s="11"/>
      <c r="O259" s="11"/>
    </row>
    <row r="260" spans="7:15" ht="14.25" customHeight="1" x14ac:dyDescent="0.35">
      <c r="G260" s="39"/>
      <c r="N260" s="11"/>
      <c r="O260" s="11"/>
    </row>
    <row r="261" spans="7:15" ht="14.25" customHeight="1" x14ac:dyDescent="0.35">
      <c r="G261" s="39"/>
      <c r="N261" s="11"/>
      <c r="O261" s="11"/>
    </row>
    <row r="262" spans="7:15" ht="14.25" customHeight="1" x14ac:dyDescent="0.35">
      <c r="G262" s="39"/>
      <c r="N262" s="11"/>
      <c r="O262" s="11"/>
    </row>
    <row r="263" spans="7:15" ht="14.25" customHeight="1" x14ac:dyDescent="0.35">
      <c r="G263" s="39"/>
      <c r="N263" s="11"/>
      <c r="O263" s="11"/>
    </row>
    <row r="264" spans="7:15" ht="14.25" customHeight="1" x14ac:dyDescent="0.35">
      <c r="G264" s="39"/>
      <c r="N264" s="11"/>
      <c r="O264" s="11"/>
    </row>
    <row r="265" spans="7:15" ht="14.25" customHeight="1" x14ac:dyDescent="0.35">
      <c r="G265" s="39"/>
      <c r="N265" s="11"/>
      <c r="O265" s="11"/>
    </row>
    <row r="266" spans="7:15" ht="14.25" customHeight="1" x14ac:dyDescent="0.35">
      <c r="G266" s="39"/>
      <c r="N266" s="11"/>
      <c r="O266" s="11"/>
    </row>
    <row r="267" spans="7:15" ht="14.25" customHeight="1" x14ac:dyDescent="0.35">
      <c r="G267" s="39"/>
      <c r="N267" s="11"/>
      <c r="O267" s="11"/>
    </row>
    <row r="268" spans="7:15" ht="14.25" customHeight="1" x14ac:dyDescent="0.35">
      <c r="G268" s="39"/>
      <c r="N268" s="11"/>
      <c r="O268" s="11"/>
    </row>
    <row r="269" spans="7:15" ht="14.25" customHeight="1" x14ac:dyDescent="0.35">
      <c r="G269" s="39"/>
      <c r="N269" s="11"/>
      <c r="O269" s="11"/>
    </row>
    <row r="270" spans="7:15" ht="14.25" customHeight="1" x14ac:dyDescent="0.35">
      <c r="G270" s="39"/>
      <c r="N270" s="11"/>
      <c r="O270" s="11"/>
    </row>
    <row r="271" spans="7:15" ht="14.25" customHeight="1" x14ac:dyDescent="0.35">
      <c r="G271" s="39"/>
      <c r="N271" s="11"/>
      <c r="O271" s="11"/>
    </row>
    <row r="272" spans="7:15" ht="14.25" customHeight="1" x14ac:dyDescent="0.35">
      <c r="G272" s="39"/>
      <c r="N272" s="11"/>
      <c r="O272" s="11"/>
    </row>
    <row r="273" spans="7:15" ht="14.25" customHeight="1" x14ac:dyDescent="0.35">
      <c r="G273" s="39"/>
      <c r="N273" s="11"/>
      <c r="O273" s="11"/>
    </row>
    <row r="274" spans="7:15" ht="14.25" customHeight="1" x14ac:dyDescent="0.35">
      <c r="G274" s="39"/>
      <c r="N274" s="11"/>
      <c r="O274" s="11"/>
    </row>
    <row r="275" spans="7:15" ht="14.25" customHeight="1" x14ac:dyDescent="0.35">
      <c r="G275" s="39"/>
      <c r="N275" s="11"/>
      <c r="O275" s="11"/>
    </row>
    <row r="276" spans="7:15" ht="14.25" customHeight="1" x14ac:dyDescent="0.35">
      <c r="G276" s="39"/>
      <c r="N276" s="11"/>
      <c r="O276" s="11"/>
    </row>
    <row r="277" spans="7:15" ht="14.25" customHeight="1" x14ac:dyDescent="0.35">
      <c r="G277" s="39"/>
      <c r="N277" s="11"/>
      <c r="O277" s="11"/>
    </row>
    <row r="278" spans="7:15" ht="14.25" customHeight="1" x14ac:dyDescent="0.35">
      <c r="G278" s="39"/>
      <c r="N278" s="11"/>
      <c r="O278" s="11"/>
    </row>
    <row r="279" spans="7:15" ht="14.25" customHeight="1" x14ac:dyDescent="0.35">
      <c r="G279" s="39"/>
      <c r="N279" s="11"/>
      <c r="O279" s="11"/>
    </row>
    <row r="280" spans="7:15" ht="14.25" customHeight="1" x14ac:dyDescent="0.35">
      <c r="G280" s="39"/>
      <c r="N280" s="11"/>
      <c r="O280" s="11"/>
    </row>
    <row r="281" spans="7:15" ht="14.25" customHeight="1" x14ac:dyDescent="0.35">
      <c r="G281" s="39"/>
      <c r="N281" s="11"/>
      <c r="O281" s="11"/>
    </row>
    <row r="282" spans="7:15" ht="14.25" customHeight="1" x14ac:dyDescent="0.35">
      <c r="G282" s="39"/>
      <c r="N282" s="11"/>
      <c r="O282" s="11"/>
    </row>
    <row r="283" spans="7:15" ht="14.25" customHeight="1" x14ac:dyDescent="0.35">
      <c r="G283" s="39"/>
      <c r="N283" s="11"/>
      <c r="O283" s="11"/>
    </row>
    <row r="284" spans="7:15" ht="14.25" customHeight="1" x14ac:dyDescent="0.35">
      <c r="G284" s="39"/>
      <c r="N284" s="11"/>
      <c r="O284" s="11"/>
    </row>
    <row r="285" spans="7:15" ht="14.25" customHeight="1" x14ac:dyDescent="0.35">
      <c r="G285" s="39"/>
      <c r="N285" s="11"/>
      <c r="O285" s="11"/>
    </row>
    <row r="286" spans="7:15" ht="14.25" customHeight="1" x14ac:dyDescent="0.35">
      <c r="G286" s="39"/>
      <c r="N286" s="11"/>
      <c r="O286" s="11"/>
    </row>
    <row r="287" spans="7:15" ht="14.25" customHeight="1" x14ac:dyDescent="0.35">
      <c r="G287" s="39"/>
      <c r="N287" s="11"/>
      <c r="O287" s="11"/>
    </row>
    <row r="288" spans="7:15" ht="14.25" customHeight="1" x14ac:dyDescent="0.35">
      <c r="G288" s="39"/>
      <c r="N288" s="11"/>
      <c r="O288" s="11"/>
    </row>
    <row r="289" spans="7:15" ht="14.25" customHeight="1" x14ac:dyDescent="0.35">
      <c r="G289" s="39"/>
      <c r="N289" s="11"/>
      <c r="O289" s="11"/>
    </row>
    <row r="290" spans="7:15" ht="14.25" customHeight="1" x14ac:dyDescent="0.35">
      <c r="G290" s="39"/>
      <c r="N290" s="11"/>
      <c r="O290" s="11"/>
    </row>
    <row r="291" spans="7:15" ht="14.25" customHeight="1" x14ac:dyDescent="0.35">
      <c r="G291" s="39"/>
      <c r="N291" s="11"/>
      <c r="O291" s="11"/>
    </row>
    <row r="292" spans="7:15" ht="14.25" customHeight="1" x14ac:dyDescent="0.35">
      <c r="G292" s="39"/>
      <c r="N292" s="11"/>
      <c r="O292" s="11"/>
    </row>
    <row r="293" spans="7:15" ht="14.25" customHeight="1" x14ac:dyDescent="0.35">
      <c r="G293" s="39"/>
      <c r="N293" s="11"/>
      <c r="O293" s="11"/>
    </row>
    <row r="294" spans="7:15" ht="14.25" customHeight="1" x14ac:dyDescent="0.35">
      <c r="G294" s="39"/>
      <c r="N294" s="11"/>
      <c r="O294" s="11"/>
    </row>
    <row r="295" spans="7:15" ht="14.25" customHeight="1" x14ac:dyDescent="0.35">
      <c r="G295" s="39"/>
      <c r="N295" s="11"/>
      <c r="O295" s="11"/>
    </row>
    <row r="296" spans="7:15" ht="14.25" customHeight="1" x14ac:dyDescent="0.35">
      <c r="G296" s="39"/>
      <c r="N296" s="11"/>
      <c r="O296" s="11"/>
    </row>
    <row r="297" spans="7:15" ht="14.25" customHeight="1" x14ac:dyDescent="0.35">
      <c r="G297" s="39"/>
      <c r="N297" s="11"/>
      <c r="O297" s="11"/>
    </row>
    <row r="298" spans="7:15" ht="14.25" customHeight="1" x14ac:dyDescent="0.35">
      <c r="G298" s="39"/>
      <c r="N298" s="11"/>
      <c r="O298" s="11"/>
    </row>
    <row r="299" spans="7:15" ht="14.25" customHeight="1" x14ac:dyDescent="0.35">
      <c r="G299" s="39"/>
      <c r="N299" s="11"/>
      <c r="O299" s="11"/>
    </row>
    <row r="300" spans="7:15" ht="14.25" customHeight="1" x14ac:dyDescent="0.35">
      <c r="G300" s="39"/>
      <c r="N300" s="11"/>
      <c r="O300" s="11"/>
    </row>
    <row r="301" spans="7:15" ht="14.25" customHeight="1" x14ac:dyDescent="0.35">
      <c r="G301" s="39"/>
      <c r="N301" s="11"/>
      <c r="O301" s="11"/>
    </row>
    <row r="302" spans="7:15" ht="14.25" customHeight="1" x14ac:dyDescent="0.35">
      <c r="G302" s="39"/>
      <c r="N302" s="11"/>
      <c r="O302" s="11"/>
    </row>
    <row r="303" spans="7:15" ht="14.25" customHeight="1" x14ac:dyDescent="0.35">
      <c r="G303" s="39"/>
      <c r="N303" s="11"/>
      <c r="O303" s="11"/>
    </row>
    <row r="304" spans="7:15" ht="14.25" customHeight="1" x14ac:dyDescent="0.35">
      <c r="G304" s="39"/>
      <c r="N304" s="11"/>
      <c r="O304" s="11"/>
    </row>
    <row r="305" spans="7:15" ht="14.25" customHeight="1" x14ac:dyDescent="0.35">
      <c r="G305" s="39"/>
      <c r="N305" s="11"/>
      <c r="O305" s="11"/>
    </row>
    <row r="306" spans="7:15" ht="14.25" customHeight="1" x14ac:dyDescent="0.35">
      <c r="G306" s="39"/>
      <c r="N306" s="11"/>
      <c r="O306" s="11"/>
    </row>
    <row r="307" spans="7:15" ht="14.25" customHeight="1" x14ac:dyDescent="0.35">
      <c r="G307" s="39"/>
      <c r="N307" s="11"/>
      <c r="O307" s="11"/>
    </row>
    <row r="308" spans="7:15" ht="14.25" customHeight="1" x14ac:dyDescent="0.35">
      <c r="G308" s="39"/>
      <c r="N308" s="11"/>
      <c r="O308" s="11"/>
    </row>
    <row r="309" spans="7:15" ht="14.25" customHeight="1" x14ac:dyDescent="0.35">
      <c r="G309" s="39"/>
      <c r="N309" s="11"/>
      <c r="O309" s="11"/>
    </row>
    <row r="310" spans="7:15" ht="14.25" customHeight="1" x14ac:dyDescent="0.35">
      <c r="G310" s="39"/>
      <c r="N310" s="11"/>
      <c r="O310" s="11"/>
    </row>
    <row r="311" spans="7:15" ht="14.25" customHeight="1" x14ac:dyDescent="0.35">
      <c r="G311" s="39"/>
      <c r="N311" s="11"/>
      <c r="O311" s="11"/>
    </row>
    <row r="312" spans="7:15" ht="14.25" customHeight="1" x14ac:dyDescent="0.35">
      <c r="G312" s="39"/>
      <c r="N312" s="11"/>
      <c r="O312" s="11"/>
    </row>
    <row r="313" spans="7:15" ht="14.25" customHeight="1" x14ac:dyDescent="0.35">
      <c r="G313" s="39"/>
      <c r="N313" s="11"/>
      <c r="O313" s="11"/>
    </row>
    <row r="314" spans="7:15" ht="14.25" customHeight="1" x14ac:dyDescent="0.35">
      <c r="G314" s="39"/>
      <c r="N314" s="11"/>
      <c r="O314" s="11"/>
    </row>
    <row r="315" spans="7:15" ht="14.25" customHeight="1" x14ac:dyDescent="0.35">
      <c r="G315" s="39"/>
      <c r="N315" s="11"/>
      <c r="O315" s="11"/>
    </row>
    <row r="316" spans="7:15" ht="14.25" customHeight="1" x14ac:dyDescent="0.35">
      <c r="G316" s="39"/>
      <c r="N316" s="11"/>
      <c r="O316" s="11"/>
    </row>
    <row r="317" spans="7:15" ht="14.25" customHeight="1" x14ac:dyDescent="0.35">
      <c r="G317" s="39"/>
      <c r="N317" s="11"/>
      <c r="O317" s="11"/>
    </row>
    <row r="318" spans="7:15" ht="14.25" customHeight="1" x14ac:dyDescent="0.35">
      <c r="G318" s="39"/>
      <c r="N318" s="11"/>
      <c r="O318" s="11"/>
    </row>
    <row r="319" spans="7:15" ht="14.25" customHeight="1" x14ac:dyDescent="0.35">
      <c r="G319" s="39"/>
      <c r="N319" s="11"/>
      <c r="O319" s="11"/>
    </row>
    <row r="320" spans="7:15" ht="14.25" customHeight="1" x14ac:dyDescent="0.35">
      <c r="G320" s="39"/>
      <c r="N320" s="11"/>
      <c r="O320" s="11"/>
    </row>
    <row r="321" spans="7:15" ht="14.25" customHeight="1" x14ac:dyDescent="0.35">
      <c r="G321" s="39"/>
      <c r="N321" s="11"/>
      <c r="O321" s="11"/>
    </row>
    <row r="322" spans="7:15" ht="14.25" customHeight="1" x14ac:dyDescent="0.35">
      <c r="G322" s="39"/>
      <c r="N322" s="11"/>
      <c r="O322" s="11"/>
    </row>
    <row r="323" spans="7:15" ht="14.25" customHeight="1" x14ac:dyDescent="0.35">
      <c r="G323" s="39"/>
      <c r="N323" s="11"/>
      <c r="O323" s="11"/>
    </row>
    <row r="324" spans="7:15" ht="14.25" customHeight="1" x14ac:dyDescent="0.35">
      <c r="G324" s="39"/>
      <c r="N324" s="11"/>
      <c r="O324" s="11"/>
    </row>
    <row r="325" spans="7:15" ht="14.25" customHeight="1" x14ac:dyDescent="0.35">
      <c r="G325" s="39"/>
      <c r="N325" s="11"/>
      <c r="O325" s="11"/>
    </row>
    <row r="326" spans="7:15" ht="14.25" customHeight="1" x14ac:dyDescent="0.35">
      <c r="G326" s="39"/>
      <c r="N326" s="11"/>
      <c r="O326" s="11"/>
    </row>
    <row r="327" spans="7:15" ht="14.25" customHeight="1" x14ac:dyDescent="0.35">
      <c r="G327" s="39"/>
      <c r="N327" s="11"/>
      <c r="O327" s="11"/>
    </row>
    <row r="328" spans="7:15" ht="14.25" customHeight="1" x14ac:dyDescent="0.35">
      <c r="G328" s="39"/>
      <c r="N328" s="11"/>
      <c r="O328" s="11"/>
    </row>
    <row r="329" spans="7:15" ht="14.25" customHeight="1" x14ac:dyDescent="0.35">
      <c r="G329" s="39"/>
      <c r="N329" s="11"/>
      <c r="O329" s="11"/>
    </row>
    <row r="330" spans="7:15" ht="14.25" customHeight="1" x14ac:dyDescent="0.35">
      <c r="G330" s="39"/>
      <c r="N330" s="11"/>
      <c r="O330" s="11"/>
    </row>
    <row r="331" spans="7:15" ht="14.25" customHeight="1" x14ac:dyDescent="0.35">
      <c r="G331" s="39"/>
      <c r="N331" s="11"/>
      <c r="O331" s="11"/>
    </row>
    <row r="332" spans="7:15" ht="14.25" customHeight="1" x14ac:dyDescent="0.35">
      <c r="G332" s="39"/>
      <c r="N332" s="11"/>
      <c r="O332" s="11"/>
    </row>
    <row r="333" spans="7:15" ht="14.25" customHeight="1" x14ac:dyDescent="0.35">
      <c r="G333" s="39"/>
      <c r="N333" s="11"/>
      <c r="O333" s="11"/>
    </row>
    <row r="334" spans="7:15" ht="14.25" customHeight="1" x14ac:dyDescent="0.35">
      <c r="G334" s="39"/>
      <c r="N334" s="11"/>
      <c r="O334" s="11"/>
    </row>
    <row r="335" spans="7:15" ht="14.25" customHeight="1" x14ac:dyDescent="0.35">
      <c r="G335" s="39"/>
      <c r="N335" s="11"/>
      <c r="O335" s="11"/>
    </row>
    <row r="336" spans="7:15" ht="14.25" customHeight="1" x14ac:dyDescent="0.35">
      <c r="G336" s="39"/>
      <c r="N336" s="11"/>
      <c r="O336" s="11"/>
    </row>
    <row r="337" spans="7:15" ht="14.25" customHeight="1" x14ac:dyDescent="0.35">
      <c r="G337" s="39"/>
      <c r="N337" s="11"/>
      <c r="O337" s="11"/>
    </row>
    <row r="338" spans="7:15" ht="14.25" customHeight="1" x14ac:dyDescent="0.35">
      <c r="G338" s="39"/>
      <c r="N338" s="11"/>
      <c r="O338" s="11"/>
    </row>
    <row r="339" spans="7:15" ht="14.25" customHeight="1" x14ac:dyDescent="0.35">
      <c r="G339" s="39"/>
      <c r="N339" s="11"/>
      <c r="O339" s="11"/>
    </row>
    <row r="340" spans="7:15" ht="14.25" customHeight="1" x14ac:dyDescent="0.35">
      <c r="G340" s="39"/>
      <c r="N340" s="11"/>
      <c r="O340" s="11"/>
    </row>
    <row r="341" spans="7:15" ht="14.25" customHeight="1" x14ac:dyDescent="0.35">
      <c r="G341" s="39"/>
      <c r="N341" s="11"/>
      <c r="O341" s="11"/>
    </row>
    <row r="342" spans="7:15" ht="14.25" customHeight="1" x14ac:dyDescent="0.35">
      <c r="G342" s="39"/>
      <c r="N342" s="11"/>
      <c r="O342" s="11"/>
    </row>
    <row r="343" spans="7:15" ht="14.25" customHeight="1" x14ac:dyDescent="0.35">
      <c r="G343" s="39"/>
      <c r="N343" s="11"/>
      <c r="O343" s="11"/>
    </row>
    <row r="344" spans="7:15" ht="14.25" customHeight="1" x14ac:dyDescent="0.35">
      <c r="G344" s="39"/>
      <c r="N344" s="11"/>
      <c r="O344" s="11"/>
    </row>
    <row r="345" spans="7:15" ht="14.25" customHeight="1" x14ac:dyDescent="0.35">
      <c r="G345" s="39"/>
      <c r="N345" s="11"/>
      <c r="O345" s="11"/>
    </row>
    <row r="346" spans="7:15" ht="14.25" customHeight="1" x14ac:dyDescent="0.35">
      <c r="G346" s="39"/>
      <c r="N346" s="11"/>
      <c r="O346" s="11"/>
    </row>
    <row r="347" spans="7:15" ht="14.25" customHeight="1" x14ac:dyDescent="0.35">
      <c r="G347" s="39"/>
      <c r="N347" s="11"/>
      <c r="O347" s="11"/>
    </row>
    <row r="348" spans="7:15" ht="14.25" customHeight="1" x14ac:dyDescent="0.35">
      <c r="G348" s="39"/>
      <c r="N348" s="11"/>
      <c r="O348" s="11"/>
    </row>
    <row r="349" spans="7:15" ht="14.25" customHeight="1" x14ac:dyDescent="0.35">
      <c r="G349" s="39"/>
      <c r="N349" s="11"/>
      <c r="O349" s="11"/>
    </row>
    <row r="350" spans="7:15" ht="14.25" customHeight="1" x14ac:dyDescent="0.35">
      <c r="G350" s="39"/>
      <c r="N350" s="11"/>
      <c r="O350" s="11"/>
    </row>
    <row r="351" spans="7:15" ht="14.25" customHeight="1" x14ac:dyDescent="0.35">
      <c r="G351" s="39"/>
      <c r="N351" s="11"/>
      <c r="O351" s="11"/>
    </row>
    <row r="352" spans="7:15" ht="14.25" customHeight="1" x14ac:dyDescent="0.35">
      <c r="G352" s="39"/>
      <c r="N352" s="11"/>
      <c r="O352" s="11"/>
    </row>
    <row r="353" spans="7:15" ht="14.25" customHeight="1" x14ac:dyDescent="0.35">
      <c r="G353" s="39"/>
      <c r="N353" s="11"/>
      <c r="O353" s="11"/>
    </row>
    <row r="354" spans="7:15" ht="14.25" customHeight="1" x14ac:dyDescent="0.35">
      <c r="G354" s="39"/>
      <c r="N354" s="11"/>
      <c r="O354" s="11"/>
    </row>
    <row r="355" spans="7:15" ht="14.25" customHeight="1" x14ac:dyDescent="0.35">
      <c r="G355" s="39"/>
      <c r="N355" s="11"/>
      <c r="O355" s="11"/>
    </row>
    <row r="356" spans="7:15" ht="14.25" customHeight="1" x14ac:dyDescent="0.35">
      <c r="G356" s="39"/>
      <c r="N356" s="11"/>
      <c r="O356" s="11"/>
    </row>
    <row r="357" spans="7:15" ht="14.25" customHeight="1" x14ac:dyDescent="0.35">
      <c r="G357" s="39"/>
      <c r="N357" s="11"/>
      <c r="O357" s="11"/>
    </row>
    <row r="358" spans="7:15" ht="14.25" customHeight="1" x14ac:dyDescent="0.35">
      <c r="G358" s="39"/>
      <c r="N358" s="11"/>
      <c r="O358" s="11"/>
    </row>
    <row r="359" spans="7:15" ht="14.25" customHeight="1" x14ac:dyDescent="0.35">
      <c r="G359" s="39"/>
      <c r="N359" s="11"/>
      <c r="O359" s="11"/>
    </row>
    <row r="360" spans="7:15" ht="14.25" customHeight="1" x14ac:dyDescent="0.35">
      <c r="G360" s="39"/>
      <c r="N360" s="11"/>
      <c r="O360" s="11"/>
    </row>
    <row r="361" spans="7:15" ht="14.25" customHeight="1" x14ac:dyDescent="0.35">
      <c r="G361" s="39"/>
      <c r="N361" s="11"/>
      <c r="O361" s="11"/>
    </row>
    <row r="362" spans="7:15" ht="14.25" customHeight="1" x14ac:dyDescent="0.35">
      <c r="G362" s="39"/>
      <c r="N362" s="11"/>
      <c r="O362" s="11"/>
    </row>
    <row r="363" spans="7:15" ht="14.25" customHeight="1" x14ac:dyDescent="0.35">
      <c r="G363" s="39"/>
      <c r="N363" s="11"/>
      <c r="O363" s="11"/>
    </row>
    <row r="364" spans="7:15" ht="14.25" customHeight="1" x14ac:dyDescent="0.35">
      <c r="G364" s="39"/>
      <c r="N364" s="11"/>
      <c r="O364" s="11"/>
    </row>
    <row r="365" spans="7:15" ht="14.25" customHeight="1" x14ac:dyDescent="0.35">
      <c r="G365" s="39"/>
      <c r="N365" s="11"/>
      <c r="O365" s="11"/>
    </row>
    <row r="366" spans="7:15" ht="14.25" customHeight="1" x14ac:dyDescent="0.35">
      <c r="G366" s="39"/>
      <c r="N366" s="11"/>
      <c r="O366" s="11"/>
    </row>
    <row r="367" spans="7:15" ht="14.25" customHeight="1" x14ac:dyDescent="0.35">
      <c r="G367" s="39"/>
      <c r="N367" s="11"/>
      <c r="O367" s="11"/>
    </row>
    <row r="368" spans="7:15" ht="14.25" customHeight="1" x14ac:dyDescent="0.35">
      <c r="G368" s="39"/>
      <c r="N368" s="11"/>
      <c r="O368" s="11"/>
    </row>
    <row r="369" spans="7:15" ht="14.25" customHeight="1" x14ac:dyDescent="0.35">
      <c r="G369" s="39"/>
      <c r="N369" s="11"/>
      <c r="O369" s="11"/>
    </row>
    <row r="370" spans="7:15" ht="14.25" customHeight="1" x14ac:dyDescent="0.35">
      <c r="G370" s="39"/>
      <c r="N370" s="11"/>
      <c r="O370" s="11"/>
    </row>
    <row r="371" spans="7:15" ht="14.25" customHeight="1" x14ac:dyDescent="0.35">
      <c r="G371" s="39"/>
      <c r="N371" s="11"/>
      <c r="O371" s="11"/>
    </row>
    <row r="372" spans="7:15" ht="14.25" customHeight="1" x14ac:dyDescent="0.35">
      <c r="G372" s="39"/>
      <c r="N372" s="11"/>
      <c r="O372" s="11"/>
    </row>
    <row r="373" spans="7:15" ht="14.25" customHeight="1" x14ac:dyDescent="0.35">
      <c r="G373" s="39"/>
      <c r="N373" s="11"/>
      <c r="O373" s="11"/>
    </row>
    <row r="374" spans="7:15" ht="14.25" customHeight="1" x14ac:dyDescent="0.35">
      <c r="G374" s="39"/>
      <c r="N374" s="11"/>
      <c r="O374" s="11"/>
    </row>
    <row r="375" spans="7:15" ht="14.25" customHeight="1" x14ac:dyDescent="0.35">
      <c r="G375" s="39"/>
      <c r="N375" s="11"/>
      <c r="O375" s="11"/>
    </row>
    <row r="376" spans="7:15" ht="14.25" customHeight="1" x14ac:dyDescent="0.35">
      <c r="G376" s="39"/>
      <c r="N376" s="11"/>
      <c r="O376" s="11"/>
    </row>
    <row r="377" spans="7:15" ht="14.25" customHeight="1" x14ac:dyDescent="0.35">
      <c r="G377" s="39"/>
      <c r="N377" s="11"/>
      <c r="O377" s="11"/>
    </row>
    <row r="378" spans="7:15" ht="14.25" customHeight="1" x14ac:dyDescent="0.35">
      <c r="G378" s="39"/>
      <c r="N378" s="11"/>
      <c r="O378" s="11"/>
    </row>
    <row r="379" spans="7:15" ht="14.25" customHeight="1" x14ac:dyDescent="0.35">
      <c r="G379" s="39"/>
      <c r="N379" s="11"/>
      <c r="O379" s="11"/>
    </row>
    <row r="380" spans="7:15" ht="14.25" customHeight="1" x14ac:dyDescent="0.35">
      <c r="G380" s="39"/>
      <c r="N380" s="11"/>
      <c r="O380" s="11"/>
    </row>
    <row r="381" spans="7:15" ht="14.25" customHeight="1" x14ac:dyDescent="0.35">
      <c r="G381" s="39"/>
      <c r="N381" s="11"/>
      <c r="O381" s="11"/>
    </row>
    <row r="382" spans="7:15" ht="14.25" customHeight="1" x14ac:dyDescent="0.35">
      <c r="G382" s="39"/>
      <c r="N382" s="11"/>
      <c r="O382" s="11"/>
    </row>
    <row r="383" spans="7:15" ht="14.25" customHeight="1" x14ac:dyDescent="0.35">
      <c r="G383" s="39"/>
      <c r="N383" s="11"/>
      <c r="O383" s="11"/>
    </row>
    <row r="384" spans="7:15" ht="14.25" customHeight="1" x14ac:dyDescent="0.35">
      <c r="G384" s="39"/>
      <c r="N384" s="11"/>
      <c r="O384" s="11"/>
    </row>
    <row r="385" spans="7:15" ht="14.25" customHeight="1" x14ac:dyDescent="0.35">
      <c r="G385" s="39"/>
      <c r="N385" s="11"/>
      <c r="O385" s="11"/>
    </row>
    <row r="386" spans="7:15" ht="14.25" customHeight="1" x14ac:dyDescent="0.35">
      <c r="G386" s="39"/>
      <c r="N386" s="11"/>
      <c r="O386" s="11"/>
    </row>
    <row r="387" spans="7:15" ht="14.25" customHeight="1" x14ac:dyDescent="0.35">
      <c r="G387" s="39"/>
      <c r="N387" s="11"/>
      <c r="O387" s="11"/>
    </row>
    <row r="388" spans="7:15" ht="14.25" customHeight="1" x14ac:dyDescent="0.35">
      <c r="G388" s="39"/>
      <c r="N388" s="11"/>
      <c r="O388" s="11"/>
    </row>
    <row r="389" spans="7:15" ht="14.25" customHeight="1" x14ac:dyDescent="0.35">
      <c r="G389" s="39"/>
      <c r="N389" s="11"/>
      <c r="O389" s="11"/>
    </row>
    <row r="390" spans="7:15" ht="14.25" customHeight="1" x14ac:dyDescent="0.35">
      <c r="G390" s="39"/>
      <c r="N390" s="11"/>
      <c r="O390" s="11"/>
    </row>
    <row r="391" spans="7:15" ht="14.25" customHeight="1" x14ac:dyDescent="0.35">
      <c r="G391" s="39"/>
      <c r="N391" s="11"/>
      <c r="O391" s="11"/>
    </row>
    <row r="392" spans="7:15" ht="14.25" customHeight="1" x14ac:dyDescent="0.35">
      <c r="G392" s="39"/>
      <c r="N392" s="11"/>
      <c r="O392" s="11"/>
    </row>
    <row r="393" spans="7:15" ht="14.25" customHeight="1" x14ac:dyDescent="0.35">
      <c r="G393" s="39"/>
      <c r="N393" s="11"/>
      <c r="O393" s="11"/>
    </row>
    <row r="394" spans="7:15" ht="14.25" customHeight="1" x14ac:dyDescent="0.35">
      <c r="G394" s="39"/>
      <c r="N394" s="11"/>
      <c r="O394" s="11"/>
    </row>
    <row r="395" spans="7:15" ht="14.25" customHeight="1" x14ac:dyDescent="0.35">
      <c r="G395" s="39"/>
      <c r="N395" s="11"/>
      <c r="O395" s="11"/>
    </row>
    <row r="396" spans="7:15" ht="14.25" customHeight="1" x14ac:dyDescent="0.35">
      <c r="G396" s="39"/>
      <c r="N396" s="11"/>
      <c r="O396" s="11"/>
    </row>
    <row r="397" spans="7:15" ht="14.25" customHeight="1" x14ac:dyDescent="0.35">
      <c r="G397" s="39"/>
      <c r="N397" s="11"/>
      <c r="O397" s="11"/>
    </row>
    <row r="398" spans="7:15" ht="14.25" customHeight="1" x14ac:dyDescent="0.35">
      <c r="G398" s="39"/>
      <c r="N398" s="11"/>
      <c r="O398" s="11"/>
    </row>
    <row r="399" spans="7:15" ht="14.25" customHeight="1" x14ac:dyDescent="0.35">
      <c r="G399" s="39"/>
      <c r="N399" s="11"/>
      <c r="O399" s="11"/>
    </row>
    <row r="400" spans="7:15" ht="14.25" customHeight="1" x14ac:dyDescent="0.35">
      <c r="G400" s="39"/>
      <c r="N400" s="11"/>
      <c r="O400" s="11"/>
    </row>
    <row r="401" spans="7:15" ht="14.25" customHeight="1" x14ac:dyDescent="0.35">
      <c r="G401" s="39"/>
      <c r="N401" s="11"/>
      <c r="O401" s="11"/>
    </row>
    <row r="402" spans="7:15" ht="14.25" customHeight="1" x14ac:dyDescent="0.35">
      <c r="G402" s="39"/>
      <c r="N402" s="11"/>
      <c r="O402" s="11"/>
    </row>
    <row r="403" spans="7:15" ht="14.25" customHeight="1" x14ac:dyDescent="0.35">
      <c r="G403" s="39"/>
      <c r="N403" s="11"/>
      <c r="O403" s="11"/>
    </row>
    <row r="404" spans="7:15" ht="14.25" customHeight="1" x14ac:dyDescent="0.35">
      <c r="G404" s="39"/>
      <c r="N404" s="11"/>
      <c r="O404" s="11"/>
    </row>
    <row r="405" spans="7:15" ht="14.25" customHeight="1" x14ac:dyDescent="0.35">
      <c r="G405" s="39"/>
      <c r="N405" s="11"/>
      <c r="O405" s="11"/>
    </row>
    <row r="406" spans="7:15" ht="14.25" customHeight="1" x14ac:dyDescent="0.35">
      <c r="G406" s="39"/>
      <c r="N406" s="11"/>
      <c r="O406" s="11"/>
    </row>
    <row r="407" spans="7:15" ht="14.25" customHeight="1" x14ac:dyDescent="0.35">
      <c r="G407" s="39"/>
      <c r="N407" s="11"/>
      <c r="O407" s="11"/>
    </row>
    <row r="408" spans="7:15" ht="14.25" customHeight="1" x14ac:dyDescent="0.35">
      <c r="G408" s="39"/>
      <c r="N408" s="11"/>
      <c r="O408" s="11"/>
    </row>
    <row r="409" spans="7:15" ht="14.25" customHeight="1" x14ac:dyDescent="0.35">
      <c r="G409" s="39"/>
      <c r="N409" s="11"/>
      <c r="O409" s="11"/>
    </row>
    <row r="410" spans="7:15" ht="14.25" customHeight="1" x14ac:dyDescent="0.35">
      <c r="G410" s="39"/>
      <c r="N410" s="11"/>
      <c r="O410" s="11"/>
    </row>
    <row r="411" spans="7:15" ht="14.25" customHeight="1" x14ac:dyDescent="0.35">
      <c r="G411" s="39"/>
      <c r="N411" s="11"/>
      <c r="O411" s="11"/>
    </row>
    <row r="412" spans="7:15" ht="14.25" customHeight="1" x14ac:dyDescent="0.35">
      <c r="G412" s="39"/>
      <c r="N412" s="11"/>
      <c r="O412" s="11"/>
    </row>
    <row r="413" spans="7:15" ht="14.25" customHeight="1" x14ac:dyDescent="0.35">
      <c r="G413" s="39"/>
      <c r="N413" s="11"/>
      <c r="O413" s="11"/>
    </row>
    <row r="414" spans="7:15" ht="14.25" customHeight="1" x14ac:dyDescent="0.35">
      <c r="G414" s="39"/>
      <c r="N414" s="11"/>
      <c r="O414" s="11"/>
    </row>
    <row r="415" spans="7:15" ht="14.25" customHeight="1" x14ac:dyDescent="0.35">
      <c r="G415" s="39"/>
      <c r="N415" s="11"/>
      <c r="O415" s="11"/>
    </row>
    <row r="416" spans="7:15" ht="14.25" customHeight="1" x14ac:dyDescent="0.35">
      <c r="G416" s="39"/>
      <c r="N416" s="11"/>
      <c r="O416" s="11"/>
    </row>
    <row r="417" spans="7:15" ht="14.25" customHeight="1" x14ac:dyDescent="0.35">
      <c r="G417" s="39"/>
      <c r="N417" s="11"/>
      <c r="O417" s="11"/>
    </row>
    <row r="418" spans="7:15" ht="14.25" customHeight="1" x14ac:dyDescent="0.35">
      <c r="G418" s="39"/>
      <c r="N418" s="11"/>
      <c r="O418" s="11"/>
    </row>
    <row r="419" spans="7:15" ht="14.25" customHeight="1" x14ac:dyDescent="0.35">
      <c r="G419" s="39"/>
      <c r="N419" s="11"/>
      <c r="O419" s="11"/>
    </row>
    <row r="420" spans="7:15" ht="14.25" customHeight="1" x14ac:dyDescent="0.35">
      <c r="G420" s="39"/>
      <c r="N420" s="11"/>
      <c r="O420" s="11"/>
    </row>
    <row r="421" spans="7:15" ht="14.25" customHeight="1" x14ac:dyDescent="0.35">
      <c r="G421" s="39"/>
      <c r="N421" s="11"/>
      <c r="O421" s="11"/>
    </row>
    <row r="422" spans="7:15" ht="14.25" customHeight="1" x14ac:dyDescent="0.35">
      <c r="G422" s="39"/>
      <c r="N422" s="11"/>
      <c r="O422" s="11"/>
    </row>
    <row r="423" spans="7:15" ht="14.25" customHeight="1" x14ac:dyDescent="0.35">
      <c r="G423" s="39"/>
      <c r="N423" s="11"/>
      <c r="O423" s="11"/>
    </row>
    <row r="424" spans="7:15" ht="14.25" customHeight="1" x14ac:dyDescent="0.35">
      <c r="G424" s="39"/>
      <c r="N424" s="11"/>
      <c r="O424" s="11"/>
    </row>
    <row r="425" spans="7:15" ht="14.25" customHeight="1" x14ac:dyDescent="0.35">
      <c r="G425" s="39"/>
      <c r="N425" s="11"/>
      <c r="O425" s="11"/>
    </row>
    <row r="426" spans="7:15" ht="14.25" customHeight="1" x14ac:dyDescent="0.35">
      <c r="G426" s="39"/>
      <c r="N426" s="11"/>
      <c r="O426" s="11"/>
    </row>
    <row r="427" spans="7:15" ht="14.25" customHeight="1" x14ac:dyDescent="0.35">
      <c r="G427" s="39"/>
      <c r="N427" s="11"/>
      <c r="O427" s="11"/>
    </row>
    <row r="428" spans="7:15" ht="14.25" customHeight="1" x14ac:dyDescent="0.35">
      <c r="G428" s="39"/>
      <c r="N428" s="11"/>
      <c r="O428" s="11"/>
    </row>
    <row r="429" spans="7:15" ht="14.25" customHeight="1" x14ac:dyDescent="0.35">
      <c r="G429" s="39"/>
      <c r="N429" s="11"/>
      <c r="O429" s="11"/>
    </row>
    <row r="430" spans="7:15" ht="14.25" customHeight="1" x14ac:dyDescent="0.35">
      <c r="G430" s="39"/>
      <c r="N430" s="11"/>
      <c r="O430" s="11"/>
    </row>
    <row r="431" spans="7:15" ht="14.25" customHeight="1" x14ac:dyDescent="0.35">
      <c r="G431" s="39"/>
      <c r="N431" s="11"/>
      <c r="O431" s="11"/>
    </row>
    <row r="432" spans="7:15" ht="14.25" customHeight="1" x14ac:dyDescent="0.35">
      <c r="G432" s="39"/>
      <c r="N432" s="11"/>
      <c r="O432" s="11"/>
    </row>
    <row r="433" spans="7:15" ht="14.25" customHeight="1" x14ac:dyDescent="0.35">
      <c r="G433" s="39"/>
      <c r="N433" s="11"/>
      <c r="O433" s="11"/>
    </row>
    <row r="434" spans="7:15" ht="14.25" customHeight="1" x14ac:dyDescent="0.35">
      <c r="G434" s="39"/>
      <c r="N434" s="11"/>
      <c r="O434" s="11"/>
    </row>
    <row r="435" spans="7:15" ht="14.25" customHeight="1" x14ac:dyDescent="0.35">
      <c r="G435" s="39"/>
      <c r="N435" s="11"/>
      <c r="O435" s="11"/>
    </row>
    <row r="436" spans="7:15" ht="14.25" customHeight="1" x14ac:dyDescent="0.35">
      <c r="G436" s="39"/>
      <c r="N436" s="11"/>
      <c r="O436" s="11"/>
    </row>
    <row r="437" spans="7:15" ht="14.25" customHeight="1" x14ac:dyDescent="0.35">
      <c r="G437" s="39"/>
      <c r="N437" s="11"/>
      <c r="O437" s="11"/>
    </row>
    <row r="438" spans="7:15" ht="14.25" customHeight="1" x14ac:dyDescent="0.35">
      <c r="G438" s="39"/>
      <c r="N438" s="11"/>
      <c r="O438" s="11"/>
    </row>
    <row r="439" spans="7:15" ht="14.25" customHeight="1" x14ac:dyDescent="0.35">
      <c r="G439" s="39"/>
      <c r="N439" s="11"/>
      <c r="O439" s="11"/>
    </row>
    <row r="440" spans="7:15" ht="14.25" customHeight="1" x14ac:dyDescent="0.35">
      <c r="G440" s="39"/>
      <c r="N440" s="11"/>
      <c r="O440" s="11"/>
    </row>
    <row r="441" spans="7:15" ht="14.25" customHeight="1" x14ac:dyDescent="0.35">
      <c r="G441" s="39"/>
      <c r="N441" s="11"/>
      <c r="O441" s="11"/>
    </row>
    <row r="442" spans="7:15" ht="14.25" customHeight="1" x14ac:dyDescent="0.35">
      <c r="G442" s="39"/>
      <c r="N442" s="11"/>
      <c r="O442" s="11"/>
    </row>
    <row r="443" spans="7:15" ht="14.25" customHeight="1" x14ac:dyDescent="0.35">
      <c r="G443" s="39"/>
      <c r="N443" s="11"/>
      <c r="O443" s="11"/>
    </row>
    <row r="444" spans="7:15" ht="14.25" customHeight="1" x14ac:dyDescent="0.35">
      <c r="G444" s="39"/>
      <c r="N444" s="11"/>
      <c r="O444" s="11"/>
    </row>
    <row r="445" spans="7:15" ht="14.25" customHeight="1" x14ac:dyDescent="0.35">
      <c r="G445" s="39"/>
      <c r="N445" s="11"/>
      <c r="O445" s="11"/>
    </row>
    <row r="446" spans="7:15" ht="14.25" customHeight="1" x14ac:dyDescent="0.35">
      <c r="G446" s="39"/>
      <c r="N446" s="11"/>
      <c r="O446" s="11"/>
    </row>
    <row r="447" spans="7:15" ht="14.25" customHeight="1" x14ac:dyDescent="0.35">
      <c r="G447" s="39"/>
      <c r="N447" s="11"/>
      <c r="O447" s="11"/>
    </row>
    <row r="448" spans="7:15" ht="14.25" customHeight="1" x14ac:dyDescent="0.35">
      <c r="G448" s="39"/>
      <c r="N448" s="11"/>
      <c r="O448" s="11"/>
    </row>
    <row r="449" spans="7:15" ht="14.25" customHeight="1" x14ac:dyDescent="0.35">
      <c r="G449" s="39"/>
      <c r="N449" s="11"/>
      <c r="O449" s="11"/>
    </row>
    <row r="450" spans="7:15" ht="14.25" customHeight="1" x14ac:dyDescent="0.35">
      <c r="G450" s="39"/>
      <c r="N450" s="11"/>
      <c r="O450" s="11"/>
    </row>
    <row r="451" spans="7:15" ht="14.25" customHeight="1" x14ac:dyDescent="0.35">
      <c r="G451" s="39"/>
      <c r="N451" s="11"/>
      <c r="O451" s="11"/>
    </row>
    <row r="452" spans="7:15" ht="14.25" customHeight="1" x14ac:dyDescent="0.35">
      <c r="G452" s="39"/>
      <c r="N452" s="11"/>
      <c r="O452" s="11"/>
    </row>
    <row r="453" spans="7:15" ht="14.25" customHeight="1" x14ac:dyDescent="0.35">
      <c r="G453" s="39"/>
      <c r="N453" s="11"/>
      <c r="O453" s="11"/>
    </row>
    <row r="454" spans="7:15" ht="14.25" customHeight="1" x14ac:dyDescent="0.35">
      <c r="G454" s="39"/>
      <c r="N454" s="11"/>
      <c r="O454" s="11"/>
    </row>
    <row r="455" spans="7:15" ht="14.25" customHeight="1" x14ac:dyDescent="0.35">
      <c r="G455" s="39"/>
      <c r="N455" s="11"/>
      <c r="O455" s="11"/>
    </row>
    <row r="456" spans="7:15" ht="14.25" customHeight="1" x14ac:dyDescent="0.35">
      <c r="G456" s="39"/>
      <c r="N456" s="11"/>
      <c r="O456" s="11"/>
    </row>
    <row r="457" spans="7:15" ht="14.25" customHeight="1" x14ac:dyDescent="0.35">
      <c r="G457" s="39"/>
      <c r="N457" s="11"/>
      <c r="O457" s="11"/>
    </row>
    <row r="458" spans="7:15" ht="14.25" customHeight="1" x14ac:dyDescent="0.35">
      <c r="G458" s="39"/>
      <c r="N458" s="11"/>
      <c r="O458" s="11"/>
    </row>
    <row r="459" spans="7:15" ht="14.25" customHeight="1" x14ac:dyDescent="0.35">
      <c r="G459" s="39"/>
      <c r="N459" s="11"/>
      <c r="O459" s="11"/>
    </row>
    <row r="460" spans="7:15" ht="14.25" customHeight="1" x14ac:dyDescent="0.35">
      <c r="G460" s="39"/>
      <c r="N460" s="11"/>
      <c r="O460" s="11"/>
    </row>
    <row r="461" spans="7:15" ht="14.25" customHeight="1" x14ac:dyDescent="0.35">
      <c r="G461" s="39"/>
      <c r="N461" s="11"/>
      <c r="O461" s="11"/>
    </row>
    <row r="462" spans="7:15" ht="14.25" customHeight="1" x14ac:dyDescent="0.35">
      <c r="G462" s="39"/>
      <c r="N462" s="11"/>
      <c r="O462" s="11"/>
    </row>
    <row r="463" spans="7:15" ht="14.25" customHeight="1" x14ac:dyDescent="0.35">
      <c r="G463" s="39"/>
      <c r="N463" s="11"/>
      <c r="O463" s="11"/>
    </row>
    <row r="464" spans="7:15" ht="14.25" customHeight="1" x14ac:dyDescent="0.35">
      <c r="G464" s="39"/>
      <c r="N464" s="11"/>
      <c r="O464" s="11"/>
    </row>
    <row r="465" spans="7:15" ht="14.25" customHeight="1" x14ac:dyDescent="0.35">
      <c r="G465" s="39"/>
      <c r="N465" s="11"/>
      <c r="O465" s="11"/>
    </row>
    <row r="466" spans="7:15" ht="14.25" customHeight="1" x14ac:dyDescent="0.35">
      <c r="G466" s="39"/>
      <c r="N466" s="11"/>
      <c r="O466" s="11"/>
    </row>
    <row r="467" spans="7:15" ht="14.25" customHeight="1" x14ac:dyDescent="0.35">
      <c r="G467" s="39"/>
      <c r="N467" s="11"/>
      <c r="O467" s="11"/>
    </row>
    <row r="468" spans="7:15" ht="14.25" customHeight="1" x14ac:dyDescent="0.35">
      <c r="G468" s="39"/>
      <c r="N468" s="11"/>
      <c r="O468" s="11"/>
    </row>
    <row r="469" spans="7:15" ht="14.25" customHeight="1" x14ac:dyDescent="0.35">
      <c r="G469" s="39"/>
      <c r="N469" s="11"/>
      <c r="O469" s="11"/>
    </row>
    <row r="470" spans="7:15" ht="14.25" customHeight="1" x14ac:dyDescent="0.35">
      <c r="G470" s="39"/>
      <c r="N470" s="11"/>
      <c r="O470" s="11"/>
    </row>
    <row r="471" spans="7:15" ht="14.25" customHeight="1" x14ac:dyDescent="0.35">
      <c r="G471" s="39"/>
      <c r="N471" s="11"/>
      <c r="O471" s="11"/>
    </row>
    <row r="472" spans="7:15" ht="14.25" customHeight="1" x14ac:dyDescent="0.35">
      <c r="G472" s="39"/>
      <c r="N472" s="11"/>
      <c r="O472" s="11"/>
    </row>
    <row r="473" spans="7:15" ht="14.25" customHeight="1" x14ac:dyDescent="0.35">
      <c r="G473" s="39"/>
      <c r="N473" s="11"/>
      <c r="O473" s="11"/>
    </row>
    <row r="474" spans="7:15" ht="14.25" customHeight="1" x14ac:dyDescent="0.35">
      <c r="G474" s="39"/>
      <c r="N474" s="11"/>
      <c r="O474" s="11"/>
    </row>
    <row r="475" spans="7:15" ht="14.25" customHeight="1" x14ac:dyDescent="0.35">
      <c r="G475" s="39"/>
      <c r="N475" s="11"/>
      <c r="O475" s="11"/>
    </row>
    <row r="476" spans="7:15" ht="14.25" customHeight="1" x14ac:dyDescent="0.35">
      <c r="G476" s="39"/>
      <c r="N476" s="11"/>
      <c r="O476" s="11"/>
    </row>
    <row r="477" spans="7:15" ht="14.25" customHeight="1" x14ac:dyDescent="0.35">
      <c r="G477" s="39"/>
      <c r="N477" s="11"/>
      <c r="O477" s="11"/>
    </row>
    <row r="478" spans="7:15" ht="14.25" customHeight="1" x14ac:dyDescent="0.35">
      <c r="G478" s="39"/>
      <c r="N478" s="11"/>
      <c r="O478" s="11"/>
    </row>
    <row r="479" spans="7:15" ht="14.25" customHeight="1" x14ac:dyDescent="0.35">
      <c r="G479" s="39"/>
      <c r="N479" s="11"/>
      <c r="O479" s="11"/>
    </row>
    <row r="480" spans="7:15" ht="14.25" customHeight="1" x14ac:dyDescent="0.35">
      <c r="G480" s="39"/>
      <c r="N480" s="11"/>
      <c r="O480" s="11"/>
    </row>
    <row r="481" spans="7:15" ht="14.25" customHeight="1" x14ac:dyDescent="0.35">
      <c r="G481" s="39"/>
      <c r="N481" s="11"/>
      <c r="O481" s="11"/>
    </row>
    <row r="482" spans="7:15" ht="14.25" customHeight="1" x14ac:dyDescent="0.35">
      <c r="G482" s="39"/>
      <c r="N482" s="11"/>
      <c r="O482" s="11"/>
    </row>
    <row r="483" spans="7:15" ht="14.25" customHeight="1" x14ac:dyDescent="0.35">
      <c r="G483" s="39"/>
      <c r="N483" s="11"/>
      <c r="O483" s="11"/>
    </row>
    <row r="484" spans="7:15" ht="14.25" customHeight="1" x14ac:dyDescent="0.35">
      <c r="G484" s="39"/>
      <c r="N484" s="11"/>
      <c r="O484" s="11"/>
    </row>
    <row r="485" spans="7:15" ht="14.25" customHeight="1" x14ac:dyDescent="0.35">
      <c r="G485" s="39"/>
      <c r="N485" s="11"/>
      <c r="O485" s="11"/>
    </row>
    <row r="486" spans="7:15" ht="14.25" customHeight="1" x14ac:dyDescent="0.35">
      <c r="G486" s="39"/>
      <c r="N486" s="11"/>
      <c r="O486" s="11"/>
    </row>
    <row r="487" spans="7:15" ht="14.25" customHeight="1" x14ac:dyDescent="0.35">
      <c r="G487" s="39"/>
      <c r="N487" s="11"/>
      <c r="O487" s="11"/>
    </row>
    <row r="488" spans="7:15" ht="14.25" customHeight="1" x14ac:dyDescent="0.35">
      <c r="G488" s="39"/>
      <c r="N488" s="11"/>
      <c r="O488" s="11"/>
    </row>
    <row r="489" spans="7:15" ht="14.25" customHeight="1" x14ac:dyDescent="0.35">
      <c r="G489" s="39"/>
      <c r="N489" s="11"/>
      <c r="O489" s="11"/>
    </row>
    <row r="490" spans="7:15" ht="14.25" customHeight="1" x14ac:dyDescent="0.35">
      <c r="G490" s="39"/>
      <c r="N490" s="11"/>
      <c r="O490" s="11"/>
    </row>
    <row r="491" spans="7:15" ht="14.25" customHeight="1" x14ac:dyDescent="0.35">
      <c r="G491" s="39"/>
      <c r="N491" s="11"/>
      <c r="O491" s="11"/>
    </row>
    <row r="492" spans="7:15" ht="14.25" customHeight="1" x14ac:dyDescent="0.35">
      <c r="G492" s="39"/>
      <c r="N492" s="11"/>
      <c r="O492" s="11"/>
    </row>
    <row r="493" spans="7:15" ht="14.25" customHeight="1" x14ac:dyDescent="0.35">
      <c r="G493" s="39"/>
      <c r="N493" s="11"/>
      <c r="O493" s="11"/>
    </row>
    <row r="494" spans="7:15" ht="14.25" customHeight="1" x14ac:dyDescent="0.35">
      <c r="G494" s="39"/>
      <c r="N494" s="11"/>
      <c r="O494" s="11"/>
    </row>
    <row r="495" spans="7:15" ht="14.25" customHeight="1" x14ac:dyDescent="0.35">
      <c r="G495" s="39"/>
      <c r="N495" s="11"/>
      <c r="O495" s="11"/>
    </row>
    <row r="496" spans="7:15" ht="14.25" customHeight="1" x14ac:dyDescent="0.35">
      <c r="G496" s="39"/>
      <c r="N496" s="11"/>
      <c r="O496" s="11"/>
    </row>
    <row r="497" spans="7:15" ht="14.25" customHeight="1" x14ac:dyDescent="0.35">
      <c r="G497" s="39"/>
      <c r="N497" s="11"/>
      <c r="O497" s="11"/>
    </row>
    <row r="498" spans="7:15" ht="14.25" customHeight="1" x14ac:dyDescent="0.35">
      <c r="G498" s="39"/>
      <c r="N498" s="11"/>
      <c r="O498" s="11"/>
    </row>
    <row r="499" spans="7:15" ht="14.25" customHeight="1" x14ac:dyDescent="0.35">
      <c r="G499" s="39"/>
      <c r="N499" s="11"/>
      <c r="O499" s="11"/>
    </row>
    <row r="500" spans="7:15" ht="14.25" customHeight="1" x14ac:dyDescent="0.35">
      <c r="G500" s="39"/>
      <c r="N500" s="11"/>
      <c r="O500" s="11"/>
    </row>
    <row r="501" spans="7:15" ht="14.25" customHeight="1" x14ac:dyDescent="0.35">
      <c r="G501" s="39"/>
      <c r="N501" s="11"/>
      <c r="O501" s="11"/>
    </row>
    <row r="502" spans="7:15" ht="14.25" customHeight="1" x14ac:dyDescent="0.35">
      <c r="G502" s="39"/>
      <c r="N502" s="11"/>
      <c r="O502" s="11"/>
    </row>
    <row r="503" spans="7:15" ht="14.25" customHeight="1" x14ac:dyDescent="0.35">
      <c r="G503" s="39"/>
      <c r="N503" s="11"/>
      <c r="O503" s="11"/>
    </row>
    <row r="504" spans="7:15" ht="14.25" customHeight="1" x14ac:dyDescent="0.35">
      <c r="G504" s="39"/>
      <c r="N504" s="11"/>
      <c r="O504" s="11"/>
    </row>
    <row r="505" spans="7:15" ht="14.25" customHeight="1" x14ac:dyDescent="0.35">
      <c r="G505" s="39"/>
      <c r="N505" s="11"/>
      <c r="O505" s="11"/>
    </row>
    <row r="506" spans="7:15" ht="14.25" customHeight="1" x14ac:dyDescent="0.35">
      <c r="G506" s="39"/>
      <c r="N506" s="11"/>
      <c r="O506" s="11"/>
    </row>
    <row r="507" spans="7:15" ht="14.25" customHeight="1" x14ac:dyDescent="0.35">
      <c r="G507" s="39"/>
      <c r="N507" s="11"/>
      <c r="O507" s="11"/>
    </row>
    <row r="508" spans="7:15" ht="14.25" customHeight="1" x14ac:dyDescent="0.35">
      <c r="G508" s="39"/>
      <c r="N508" s="11"/>
      <c r="O508" s="11"/>
    </row>
    <row r="509" spans="7:15" ht="14.25" customHeight="1" x14ac:dyDescent="0.35">
      <c r="G509" s="39"/>
      <c r="N509" s="11"/>
      <c r="O509" s="11"/>
    </row>
    <row r="510" spans="7:15" ht="14.25" customHeight="1" x14ac:dyDescent="0.35">
      <c r="G510" s="39"/>
      <c r="N510" s="11"/>
      <c r="O510" s="11"/>
    </row>
    <row r="511" spans="7:15" ht="14.25" customHeight="1" x14ac:dyDescent="0.35">
      <c r="G511" s="39"/>
      <c r="N511" s="11"/>
      <c r="O511" s="11"/>
    </row>
    <row r="512" spans="7:15" ht="14.25" customHeight="1" x14ac:dyDescent="0.35">
      <c r="G512" s="39"/>
      <c r="N512" s="11"/>
      <c r="O512" s="11"/>
    </row>
    <row r="513" spans="7:15" ht="14.25" customHeight="1" x14ac:dyDescent="0.35">
      <c r="G513" s="39"/>
      <c r="N513" s="11"/>
      <c r="O513" s="11"/>
    </row>
    <row r="514" spans="7:15" ht="14.25" customHeight="1" x14ac:dyDescent="0.35">
      <c r="G514" s="39"/>
      <c r="N514" s="11"/>
      <c r="O514" s="11"/>
    </row>
    <row r="515" spans="7:15" ht="14.25" customHeight="1" x14ac:dyDescent="0.35">
      <c r="G515" s="39"/>
      <c r="N515" s="11"/>
      <c r="O515" s="11"/>
    </row>
    <row r="516" spans="7:15" ht="14.25" customHeight="1" x14ac:dyDescent="0.35">
      <c r="G516" s="39"/>
      <c r="N516" s="11"/>
      <c r="O516" s="11"/>
    </row>
    <row r="517" spans="7:15" ht="14.25" customHeight="1" x14ac:dyDescent="0.35">
      <c r="G517" s="39"/>
      <c r="N517" s="11"/>
      <c r="O517" s="11"/>
    </row>
    <row r="518" spans="7:15" ht="14.25" customHeight="1" x14ac:dyDescent="0.35">
      <c r="G518" s="39"/>
      <c r="N518" s="11"/>
      <c r="O518" s="11"/>
    </row>
    <row r="519" spans="7:15" ht="14.25" customHeight="1" x14ac:dyDescent="0.35">
      <c r="G519" s="39"/>
      <c r="N519" s="11"/>
      <c r="O519" s="11"/>
    </row>
    <row r="520" spans="7:15" ht="14.25" customHeight="1" x14ac:dyDescent="0.35">
      <c r="G520" s="39"/>
      <c r="N520" s="11"/>
      <c r="O520" s="11"/>
    </row>
    <row r="521" spans="7:15" ht="14.25" customHeight="1" x14ac:dyDescent="0.35">
      <c r="G521" s="39"/>
      <c r="N521" s="11"/>
      <c r="O521" s="11"/>
    </row>
    <row r="522" spans="7:15" ht="14.25" customHeight="1" x14ac:dyDescent="0.35">
      <c r="G522" s="39"/>
      <c r="N522" s="11"/>
      <c r="O522" s="11"/>
    </row>
    <row r="523" spans="7:15" ht="14.25" customHeight="1" x14ac:dyDescent="0.35">
      <c r="G523" s="39"/>
      <c r="N523" s="11"/>
      <c r="O523" s="11"/>
    </row>
    <row r="524" spans="7:15" ht="14.25" customHeight="1" x14ac:dyDescent="0.35">
      <c r="G524" s="39"/>
      <c r="N524" s="11"/>
      <c r="O524" s="11"/>
    </row>
    <row r="525" spans="7:15" ht="14.25" customHeight="1" x14ac:dyDescent="0.35">
      <c r="G525" s="39"/>
      <c r="N525" s="11"/>
      <c r="O525" s="11"/>
    </row>
    <row r="526" spans="7:15" ht="14.25" customHeight="1" x14ac:dyDescent="0.35">
      <c r="G526" s="39"/>
      <c r="N526" s="11"/>
      <c r="O526" s="11"/>
    </row>
    <row r="527" spans="7:15" ht="14.25" customHeight="1" x14ac:dyDescent="0.35">
      <c r="G527" s="39"/>
      <c r="N527" s="11"/>
      <c r="O527" s="11"/>
    </row>
    <row r="528" spans="7:15" ht="14.25" customHeight="1" x14ac:dyDescent="0.35">
      <c r="G528" s="39"/>
      <c r="N528" s="11"/>
      <c r="O528" s="11"/>
    </row>
    <row r="529" spans="7:15" ht="14.25" customHeight="1" x14ac:dyDescent="0.35">
      <c r="G529" s="39"/>
      <c r="N529" s="11"/>
      <c r="O529" s="11"/>
    </row>
    <row r="530" spans="7:15" ht="14.25" customHeight="1" x14ac:dyDescent="0.35">
      <c r="G530" s="39"/>
      <c r="N530" s="11"/>
      <c r="O530" s="11"/>
    </row>
    <row r="531" spans="7:15" ht="14.25" customHeight="1" x14ac:dyDescent="0.35">
      <c r="G531" s="39"/>
      <c r="N531" s="11"/>
      <c r="O531" s="11"/>
    </row>
    <row r="532" spans="7:15" ht="14.25" customHeight="1" x14ac:dyDescent="0.35">
      <c r="G532" s="39"/>
      <c r="N532" s="11"/>
      <c r="O532" s="11"/>
    </row>
    <row r="533" spans="7:15" ht="14.25" customHeight="1" x14ac:dyDescent="0.35">
      <c r="G533" s="39"/>
      <c r="N533" s="11"/>
      <c r="O533" s="11"/>
    </row>
    <row r="534" spans="7:15" ht="14.25" customHeight="1" x14ac:dyDescent="0.35">
      <c r="G534" s="39"/>
      <c r="N534" s="11"/>
      <c r="O534" s="11"/>
    </row>
    <row r="535" spans="7:15" ht="14.25" customHeight="1" x14ac:dyDescent="0.35">
      <c r="G535" s="39"/>
      <c r="N535" s="11"/>
      <c r="O535" s="11"/>
    </row>
    <row r="536" spans="7:15" ht="14.25" customHeight="1" x14ac:dyDescent="0.35">
      <c r="G536" s="39"/>
      <c r="N536" s="11"/>
      <c r="O536" s="11"/>
    </row>
    <row r="537" spans="7:15" ht="14.25" customHeight="1" x14ac:dyDescent="0.35">
      <c r="G537" s="39"/>
      <c r="N537" s="11"/>
      <c r="O537" s="11"/>
    </row>
    <row r="538" spans="7:15" ht="14.25" customHeight="1" x14ac:dyDescent="0.35">
      <c r="G538" s="39"/>
      <c r="N538" s="11"/>
      <c r="O538" s="11"/>
    </row>
    <row r="539" spans="7:15" ht="14.25" customHeight="1" x14ac:dyDescent="0.35">
      <c r="G539" s="39"/>
      <c r="N539" s="11"/>
      <c r="O539" s="11"/>
    </row>
    <row r="540" spans="7:15" ht="14.25" customHeight="1" x14ac:dyDescent="0.35">
      <c r="G540" s="39"/>
      <c r="N540" s="11"/>
      <c r="O540" s="11"/>
    </row>
    <row r="541" spans="7:15" ht="14.25" customHeight="1" x14ac:dyDescent="0.35">
      <c r="G541" s="39"/>
      <c r="N541" s="11"/>
      <c r="O541" s="11"/>
    </row>
    <row r="542" spans="7:15" ht="14.25" customHeight="1" x14ac:dyDescent="0.35">
      <c r="G542" s="39"/>
      <c r="N542" s="11"/>
      <c r="O542" s="11"/>
    </row>
    <row r="543" spans="7:15" ht="14.25" customHeight="1" x14ac:dyDescent="0.35">
      <c r="G543" s="39"/>
      <c r="N543" s="11"/>
      <c r="O543" s="11"/>
    </row>
    <row r="544" spans="7:15" ht="14.25" customHeight="1" x14ac:dyDescent="0.35">
      <c r="G544" s="39"/>
      <c r="N544" s="11"/>
      <c r="O544" s="11"/>
    </row>
    <row r="545" spans="7:15" ht="14.25" customHeight="1" x14ac:dyDescent="0.35">
      <c r="G545" s="39"/>
      <c r="N545" s="11"/>
      <c r="O545" s="11"/>
    </row>
    <row r="546" spans="7:15" ht="14.25" customHeight="1" x14ac:dyDescent="0.35">
      <c r="G546" s="39"/>
      <c r="N546" s="11"/>
      <c r="O546" s="11"/>
    </row>
    <row r="547" spans="7:15" ht="14.25" customHeight="1" x14ac:dyDescent="0.35">
      <c r="G547" s="39"/>
      <c r="N547" s="11"/>
      <c r="O547" s="11"/>
    </row>
    <row r="548" spans="7:15" ht="14.25" customHeight="1" x14ac:dyDescent="0.35">
      <c r="G548" s="39"/>
      <c r="N548" s="11"/>
      <c r="O548" s="11"/>
    </row>
    <row r="549" spans="7:15" ht="14.25" customHeight="1" x14ac:dyDescent="0.35">
      <c r="G549" s="39"/>
      <c r="N549" s="11"/>
      <c r="O549" s="11"/>
    </row>
    <row r="550" spans="7:15" ht="14.25" customHeight="1" x14ac:dyDescent="0.35">
      <c r="G550" s="39"/>
      <c r="N550" s="11"/>
      <c r="O550" s="11"/>
    </row>
    <row r="551" spans="7:15" ht="14.25" customHeight="1" x14ac:dyDescent="0.35">
      <c r="G551" s="39"/>
      <c r="N551" s="11"/>
      <c r="O551" s="11"/>
    </row>
    <row r="552" spans="7:15" ht="14.25" customHeight="1" x14ac:dyDescent="0.35">
      <c r="G552" s="39"/>
      <c r="N552" s="11"/>
      <c r="O552" s="11"/>
    </row>
    <row r="553" spans="7:15" ht="14.25" customHeight="1" x14ac:dyDescent="0.35">
      <c r="G553" s="39"/>
      <c r="N553" s="11"/>
      <c r="O553" s="11"/>
    </row>
    <row r="554" spans="7:15" ht="14.25" customHeight="1" x14ac:dyDescent="0.35">
      <c r="G554" s="39"/>
      <c r="N554" s="11"/>
      <c r="O554" s="11"/>
    </row>
    <row r="555" spans="7:15" ht="14.25" customHeight="1" x14ac:dyDescent="0.35">
      <c r="G555" s="39"/>
      <c r="N555" s="11"/>
      <c r="O555" s="11"/>
    </row>
    <row r="556" spans="7:15" ht="14.25" customHeight="1" x14ac:dyDescent="0.35">
      <c r="G556" s="39"/>
      <c r="N556" s="11"/>
      <c r="O556" s="11"/>
    </row>
    <row r="557" spans="7:15" ht="14.25" customHeight="1" x14ac:dyDescent="0.35">
      <c r="G557" s="39"/>
      <c r="N557" s="11"/>
      <c r="O557" s="11"/>
    </row>
    <row r="558" spans="7:15" ht="14.25" customHeight="1" x14ac:dyDescent="0.35">
      <c r="G558" s="39"/>
      <c r="N558" s="11"/>
      <c r="O558" s="11"/>
    </row>
    <row r="559" spans="7:15" ht="14.25" customHeight="1" x14ac:dyDescent="0.35">
      <c r="G559" s="39"/>
      <c r="N559" s="11"/>
      <c r="O559" s="11"/>
    </row>
    <row r="560" spans="7:15" ht="14.25" customHeight="1" x14ac:dyDescent="0.35">
      <c r="G560" s="39"/>
      <c r="N560" s="11"/>
      <c r="O560" s="11"/>
    </row>
    <row r="561" spans="7:15" ht="14.25" customHeight="1" x14ac:dyDescent="0.35">
      <c r="G561" s="39"/>
      <c r="N561" s="11"/>
      <c r="O561" s="11"/>
    </row>
    <row r="562" spans="7:15" ht="14.25" customHeight="1" x14ac:dyDescent="0.35">
      <c r="G562" s="39"/>
      <c r="N562" s="11"/>
      <c r="O562" s="11"/>
    </row>
    <row r="563" spans="7:15" ht="14.25" customHeight="1" x14ac:dyDescent="0.35">
      <c r="G563" s="39"/>
      <c r="N563" s="11"/>
      <c r="O563" s="11"/>
    </row>
    <row r="564" spans="7:15" ht="14.25" customHeight="1" x14ac:dyDescent="0.35">
      <c r="G564" s="39"/>
      <c r="N564" s="11"/>
      <c r="O564" s="11"/>
    </row>
    <row r="565" spans="7:15" ht="14.25" customHeight="1" x14ac:dyDescent="0.35">
      <c r="G565" s="39"/>
      <c r="N565" s="11"/>
      <c r="O565" s="11"/>
    </row>
    <row r="566" spans="7:15" ht="14.25" customHeight="1" x14ac:dyDescent="0.35">
      <c r="G566" s="39"/>
      <c r="N566" s="11"/>
      <c r="O566" s="11"/>
    </row>
    <row r="567" spans="7:15" ht="14.25" customHeight="1" x14ac:dyDescent="0.35">
      <c r="G567" s="39"/>
      <c r="N567" s="11"/>
      <c r="O567" s="11"/>
    </row>
    <row r="568" spans="7:15" ht="14.25" customHeight="1" x14ac:dyDescent="0.35">
      <c r="G568" s="39"/>
      <c r="N568" s="11"/>
      <c r="O568" s="11"/>
    </row>
    <row r="569" spans="7:15" ht="14.25" customHeight="1" x14ac:dyDescent="0.35">
      <c r="G569" s="39"/>
      <c r="N569" s="11"/>
      <c r="O569" s="11"/>
    </row>
    <row r="570" spans="7:15" ht="14.25" customHeight="1" x14ac:dyDescent="0.35">
      <c r="G570" s="39"/>
      <c r="N570" s="11"/>
      <c r="O570" s="11"/>
    </row>
    <row r="571" spans="7:15" ht="14.25" customHeight="1" x14ac:dyDescent="0.35">
      <c r="G571" s="39"/>
      <c r="N571" s="11"/>
      <c r="O571" s="11"/>
    </row>
    <row r="572" spans="7:15" ht="14.25" customHeight="1" x14ac:dyDescent="0.35">
      <c r="G572" s="39"/>
      <c r="N572" s="11"/>
      <c r="O572" s="11"/>
    </row>
    <row r="573" spans="7:15" ht="14.25" customHeight="1" x14ac:dyDescent="0.35">
      <c r="G573" s="39"/>
      <c r="N573" s="11"/>
      <c r="O573" s="11"/>
    </row>
    <row r="574" spans="7:15" ht="14.25" customHeight="1" x14ac:dyDescent="0.35">
      <c r="G574" s="39"/>
      <c r="N574" s="11"/>
      <c r="O574" s="11"/>
    </row>
    <row r="575" spans="7:15" ht="14.25" customHeight="1" x14ac:dyDescent="0.35">
      <c r="G575" s="39"/>
      <c r="N575" s="11"/>
      <c r="O575" s="11"/>
    </row>
    <row r="576" spans="7:15" ht="14.25" customHeight="1" x14ac:dyDescent="0.35">
      <c r="G576" s="39"/>
      <c r="N576" s="11"/>
      <c r="O576" s="11"/>
    </row>
    <row r="577" spans="7:15" ht="14.25" customHeight="1" x14ac:dyDescent="0.35">
      <c r="G577" s="39"/>
      <c r="N577" s="11"/>
      <c r="O577" s="11"/>
    </row>
    <row r="578" spans="7:15" ht="14.25" customHeight="1" x14ac:dyDescent="0.35">
      <c r="G578" s="39"/>
      <c r="N578" s="11"/>
      <c r="O578" s="11"/>
    </row>
    <row r="579" spans="7:15" ht="14.25" customHeight="1" x14ac:dyDescent="0.35">
      <c r="G579" s="39"/>
      <c r="N579" s="11"/>
      <c r="O579" s="11"/>
    </row>
    <row r="580" spans="7:15" ht="14.25" customHeight="1" x14ac:dyDescent="0.35">
      <c r="G580" s="39"/>
      <c r="N580" s="11"/>
      <c r="O580" s="11"/>
    </row>
    <row r="581" spans="7:15" ht="14.25" customHeight="1" x14ac:dyDescent="0.35">
      <c r="G581" s="39"/>
      <c r="N581" s="11"/>
      <c r="O581" s="11"/>
    </row>
    <row r="582" spans="7:15" ht="14.25" customHeight="1" x14ac:dyDescent="0.35">
      <c r="G582" s="39"/>
      <c r="N582" s="11"/>
      <c r="O582" s="11"/>
    </row>
    <row r="583" spans="7:15" ht="14.25" customHeight="1" x14ac:dyDescent="0.35">
      <c r="G583" s="39"/>
      <c r="N583" s="11"/>
      <c r="O583" s="11"/>
    </row>
    <row r="584" spans="7:15" ht="14.25" customHeight="1" x14ac:dyDescent="0.35">
      <c r="G584" s="39"/>
      <c r="N584" s="11"/>
      <c r="O584" s="11"/>
    </row>
    <row r="585" spans="7:15" ht="14.25" customHeight="1" x14ac:dyDescent="0.35">
      <c r="G585" s="39"/>
      <c r="N585" s="11"/>
      <c r="O585" s="11"/>
    </row>
    <row r="586" spans="7:15" ht="14.25" customHeight="1" x14ac:dyDescent="0.35">
      <c r="G586" s="39"/>
      <c r="N586" s="11"/>
      <c r="O586" s="11"/>
    </row>
    <row r="587" spans="7:15" ht="14.25" customHeight="1" x14ac:dyDescent="0.35">
      <c r="G587" s="39"/>
      <c r="N587" s="11"/>
      <c r="O587" s="11"/>
    </row>
    <row r="588" spans="7:15" ht="14.25" customHeight="1" x14ac:dyDescent="0.35">
      <c r="G588" s="39"/>
      <c r="N588" s="11"/>
      <c r="O588" s="11"/>
    </row>
    <row r="589" spans="7:15" ht="14.25" customHeight="1" x14ac:dyDescent="0.35">
      <c r="G589" s="39"/>
      <c r="N589" s="11"/>
      <c r="O589" s="11"/>
    </row>
    <row r="590" spans="7:15" ht="14.25" customHeight="1" x14ac:dyDescent="0.35">
      <c r="G590" s="39"/>
      <c r="N590" s="11"/>
      <c r="O590" s="11"/>
    </row>
    <row r="591" spans="7:15" ht="14.25" customHeight="1" x14ac:dyDescent="0.35">
      <c r="G591" s="39"/>
      <c r="N591" s="11"/>
      <c r="O591" s="11"/>
    </row>
    <row r="592" spans="7:15" ht="14.25" customHeight="1" x14ac:dyDescent="0.35">
      <c r="G592" s="39"/>
      <c r="N592" s="11"/>
      <c r="O592" s="11"/>
    </row>
    <row r="593" spans="7:15" ht="14.25" customHeight="1" x14ac:dyDescent="0.35">
      <c r="G593" s="39"/>
      <c r="N593" s="11"/>
      <c r="O593" s="11"/>
    </row>
    <row r="594" spans="7:15" ht="14.25" customHeight="1" x14ac:dyDescent="0.35">
      <c r="G594" s="39"/>
      <c r="N594" s="11"/>
      <c r="O594" s="11"/>
    </row>
    <row r="595" spans="7:15" ht="14.25" customHeight="1" x14ac:dyDescent="0.35">
      <c r="G595" s="39"/>
      <c r="N595" s="11"/>
      <c r="O595" s="11"/>
    </row>
    <row r="596" spans="7:15" ht="14.25" customHeight="1" x14ac:dyDescent="0.35">
      <c r="G596" s="39"/>
      <c r="N596" s="11"/>
      <c r="O596" s="11"/>
    </row>
    <row r="597" spans="7:15" ht="14.25" customHeight="1" x14ac:dyDescent="0.35">
      <c r="G597" s="39"/>
      <c r="N597" s="11"/>
      <c r="O597" s="11"/>
    </row>
    <row r="598" spans="7:15" ht="14.25" customHeight="1" x14ac:dyDescent="0.35">
      <c r="G598" s="39"/>
      <c r="N598" s="11"/>
      <c r="O598" s="11"/>
    </row>
    <row r="599" spans="7:15" ht="14.25" customHeight="1" x14ac:dyDescent="0.35">
      <c r="G599" s="39"/>
      <c r="N599" s="11"/>
      <c r="O599" s="11"/>
    </row>
    <row r="600" spans="7:15" ht="14.25" customHeight="1" x14ac:dyDescent="0.35">
      <c r="G600" s="39"/>
      <c r="N600" s="11"/>
      <c r="O600" s="11"/>
    </row>
    <row r="601" spans="7:15" ht="14.25" customHeight="1" x14ac:dyDescent="0.35">
      <c r="G601" s="39"/>
      <c r="N601" s="11"/>
      <c r="O601" s="11"/>
    </row>
    <row r="602" spans="7:15" ht="14.25" customHeight="1" x14ac:dyDescent="0.35">
      <c r="G602" s="39"/>
      <c r="N602" s="11"/>
      <c r="O602" s="11"/>
    </row>
    <row r="603" spans="7:15" ht="14.25" customHeight="1" x14ac:dyDescent="0.35">
      <c r="G603" s="39"/>
      <c r="N603" s="11"/>
      <c r="O603" s="11"/>
    </row>
    <row r="604" spans="7:15" ht="14.25" customHeight="1" x14ac:dyDescent="0.35">
      <c r="G604" s="39"/>
      <c r="N604" s="11"/>
      <c r="O604" s="11"/>
    </row>
    <row r="605" spans="7:15" ht="14.25" customHeight="1" x14ac:dyDescent="0.35">
      <c r="G605" s="39"/>
      <c r="N605" s="11"/>
      <c r="O605" s="11"/>
    </row>
    <row r="606" spans="7:15" ht="14.25" customHeight="1" x14ac:dyDescent="0.35">
      <c r="G606" s="39"/>
      <c r="N606" s="11"/>
      <c r="O606" s="11"/>
    </row>
    <row r="607" spans="7:15" ht="14.25" customHeight="1" x14ac:dyDescent="0.35">
      <c r="G607" s="39"/>
      <c r="N607" s="11"/>
      <c r="O607" s="11"/>
    </row>
    <row r="608" spans="7:15" ht="14.25" customHeight="1" x14ac:dyDescent="0.35">
      <c r="G608" s="39"/>
      <c r="N608" s="11"/>
      <c r="O608" s="11"/>
    </row>
    <row r="609" spans="7:15" ht="14.25" customHeight="1" x14ac:dyDescent="0.35">
      <c r="G609" s="39"/>
      <c r="N609" s="11"/>
      <c r="O609" s="11"/>
    </row>
    <row r="610" spans="7:15" ht="14.25" customHeight="1" x14ac:dyDescent="0.35">
      <c r="G610" s="39"/>
      <c r="N610" s="11"/>
      <c r="O610" s="11"/>
    </row>
    <row r="611" spans="7:15" ht="14.25" customHeight="1" x14ac:dyDescent="0.35">
      <c r="G611" s="39"/>
      <c r="N611" s="11"/>
      <c r="O611" s="11"/>
    </row>
    <row r="612" spans="7:15" ht="14.25" customHeight="1" x14ac:dyDescent="0.35">
      <c r="G612" s="39"/>
      <c r="N612" s="11"/>
      <c r="O612" s="11"/>
    </row>
    <row r="613" spans="7:15" ht="14.25" customHeight="1" x14ac:dyDescent="0.35">
      <c r="G613" s="39"/>
      <c r="N613" s="11"/>
      <c r="O613" s="11"/>
    </row>
    <row r="614" spans="7:15" ht="14.25" customHeight="1" x14ac:dyDescent="0.35">
      <c r="G614" s="39"/>
      <c r="N614" s="11"/>
      <c r="O614" s="11"/>
    </row>
    <row r="615" spans="7:15" ht="14.25" customHeight="1" x14ac:dyDescent="0.35">
      <c r="G615" s="39"/>
      <c r="N615" s="11"/>
      <c r="O615" s="11"/>
    </row>
    <row r="616" spans="7:15" ht="14.25" customHeight="1" x14ac:dyDescent="0.35">
      <c r="G616" s="39"/>
      <c r="N616" s="11"/>
      <c r="O616" s="11"/>
    </row>
    <row r="617" spans="7:15" ht="14.25" customHeight="1" x14ac:dyDescent="0.35">
      <c r="G617" s="39"/>
      <c r="N617" s="11"/>
      <c r="O617" s="11"/>
    </row>
    <row r="618" spans="7:15" ht="14.25" customHeight="1" x14ac:dyDescent="0.35">
      <c r="G618" s="39"/>
      <c r="N618" s="11"/>
      <c r="O618" s="11"/>
    </row>
    <row r="619" spans="7:15" ht="14.25" customHeight="1" x14ac:dyDescent="0.35">
      <c r="G619" s="39"/>
      <c r="N619" s="11"/>
      <c r="O619" s="11"/>
    </row>
    <row r="620" spans="7:15" ht="14.25" customHeight="1" x14ac:dyDescent="0.35">
      <c r="G620" s="39"/>
      <c r="N620" s="11"/>
      <c r="O620" s="11"/>
    </row>
    <row r="621" spans="7:15" ht="14.25" customHeight="1" x14ac:dyDescent="0.35">
      <c r="G621" s="39"/>
      <c r="N621" s="11"/>
      <c r="O621" s="11"/>
    </row>
    <row r="622" spans="7:15" ht="14.25" customHeight="1" x14ac:dyDescent="0.35">
      <c r="G622" s="39"/>
      <c r="N622" s="11"/>
      <c r="O622" s="11"/>
    </row>
    <row r="623" spans="7:15" ht="14.25" customHeight="1" x14ac:dyDescent="0.35">
      <c r="G623" s="39"/>
      <c r="N623" s="11"/>
      <c r="O623" s="11"/>
    </row>
    <row r="624" spans="7:15" ht="14.25" customHeight="1" x14ac:dyDescent="0.35">
      <c r="G624" s="39"/>
      <c r="N624" s="11"/>
      <c r="O624" s="11"/>
    </row>
    <row r="625" spans="7:15" ht="14.25" customHeight="1" x14ac:dyDescent="0.35">
      <c r="G625" s="39"/>
      <c r="N625" s="11"/>
      <c r="O625" s="11"/>
    </row>
    <row r="626" spans="7:15" ht="14.25" customHeight="1" x14ac:dyDescent="0.35">
      <c r="G626" s="39"/>
      <c r="N626" s="11"/>
      <c r="O626" s="11"/>
    </row>
    <row r="627" spans="7:15" ht="14.25" customHeight="1" x14ac:dyDescent="0.35">
      <c r="G627" s="39"/>
      <c r="N627" s="11"/>
      <c r="O627" s="11"/>
    </row>
    <row r="628" spans="7:15" ht="14.25" customHeight="1" x14ac:dyDescent="0.35">
      <c r="G628" s="39"/>
      <c r="N628" s="11"/>
      <c r="O628" s="11"/>
    </row>
    <row r="629" spans="7:15" ht="14.25" customHeight="1" x14ac:dyDescent="0.35">
      <c r="G629" s="39"/>
      <c r="N629" s="11"/>
      <c r="O629" s="11"/>
    </row>
    <row r="630" spans="7:15" ht="14.25" customHeight="1" x14ac:dyDescent="0.35">
      <c r="G630" s="39"/>
      <c r="N630" s="11"/>
      <c r="O630" s="11"/>
    </row>
    <row r="631" spans="7:15" ht="14.25" customHeight="1" x14ac:dyDescent="0.35">
      <c r="G631" s="39"/>
      <c r="N631" s="11"/>
      <c r="O631" s="11"/>
    </row>
    <row r="632" spans="7:15" ht="14.25" customHeight="1" x14ac:dyDescent="0.35">
      <c r="G632" s="39"/>
      <c r="N632" s="11"/>
      <c r="O632" s="11"/>
    </row>
    <row r="633" spans="7:15" ht="14.25" customHeight="1" x14ac:dyDescent="0.35">
      <c r="G633" s="39"/>
      <c r="N633" s="11"/>
      <c r="O633" s="11"/>
    </row>
    <row r="634" spans="7:15" ht="14.25" customHeight="1" x14ac:dyDescent="0.35">
      <c r="G634" s="39"/>
      <c r="N634" s="11"/>
      <c r="O634" s="11"/>
    </row>
    <row r="635" spans="7:15" ht="14.25" customHeight="1" x14ac:dyDescent="0.35">
      <c r="G635" s="39"/>
      <c r="N635" s="11"/>
      <c r="O635" s="11"/>
    </row>
    <row r="636" spans="7:15" ht="14.25" customHeight="1" x14ac:dyDescent="0.35">
      <c r="G636" s="39"/>
      <c r="N636" s="11"/>
      <c r="O636" s="11"/>
    </row>
    <row r="637" spans="7:15" ht="14.25" customHeight="1" x14ac:dyDescent="0.35">
      <c r="G637" s="39"/>
      <c r="N637" s="11"/>
      <c r="O637" s="11"/>
    </row>
    <row r="638" spans="7:15" ht="14.25" customHeight="1" x14ac:dyDescent="0.35">
      <c r="G638" s="39"/>
      <c r="N638" s="11"/>
      <c r="O638" s="11"/>
    </row>
    <row r="639" spans="7:15" ht="14.25" customHeight="1" x14ac:dyDescent="0.35">
      <c r="G639" s="39"/>
      <c r="N639" s="11"/>
      <c r="O639" s="11"/>
    </row>
    <row r="640" spans="7:15" ht="14.25" customHeight="1" x14ac:dyDescent="0.35">
      <c r="G640" s="39"/>
      <c r="N640" s="11"/>
      <c r="O640" s="11"/>
    </row>
    <row r="641" spans="7:15" ht="14.25" customHeight="1" x14ac:dyDescent="0.35">
      <c r="G641" s="39"/>
      <c r="N641" s="11"/>
      <c r="O641" s="11"/>
    </row>
    <row r="642" spans="7:15" ht="14.25" customHeight="1" x14ac:dyDescent="0.35">
      <c r="G642" s="39"/>
      <c r="N642" s="11"/>
      <c r="O642" s="11"/>
    </row>
    <row r="643" spans="7:15" ht="14.25" customHeight="1" x14ac:dyDescent="0.35">
      <c r="G643" s="39"/>
      <c r="N643" s="11"/>
      <c r="O643" s="11"/>
    </row>
    <row r="644" spans="7:15" ht="14.25" customHeight="1" x14ac:dyDescent="0.35">
      <c r="G644" s="39"/>
      <c r="N644" s="11"/>
      <c r="O644" s="11"/>
    </row>
    <row r="645" spans="7:15" ht="14.25" customHeight="1" x14ac:dyDescent="0.35">
      <c r="G645" s="39"/>
      <c r="N645" s="11"/>
      <c r="O645" s="11"/>
    </row>
    <row r="646" spans="7:15" ht="14.25" customHeight="1" x14ac:dyDescent="0.35">
      <c r="G646" s="39"/>
      <c r="N646" s="11"/>
      <c r="O646" s="11"/>
    </row>
    <row r="647" spans="7:15" ht="14.25" customHeight="1" x14ac:dyDescent="0.35">
      <c r="G647" s="39"/>
      <c r="N647" s="11"/>
      <c r="O647" s="11"/>
    </row>
    <row r="648" spans="7:15" ht="14.25" customHeight="1" x14ac:dyDescent="0.35">
      <c r="G648" s="39"/>
      <c r="N648" s="11"/>
      <c r="O648" s="11"/>
    </row>
    <row r="649" spans="7:15" ht="14.25" customHeight="1" x14ac:dyDescent="0.35">
      <c r="G649" s="39"/>
      <c r="N649" s="11"/>
      <c r="O649" s="11"/>
    </row>
    <row r="650" spans="7:15" ht="14.25" customHeight="1" x14ac:dyDescent="0.35">
      <c r="G650" s="39"/>
      <c r="N650" s="11"/>
      <c r="O650" s="11"/>
    </row>
    <row r="651" spans="7:15" ht="14.25" customHeight="1" x14ac:dyDescent="0.35">
      <c r="G651" s="39"/>
      <c r="N651" s="11"/>
      <c r="O651" s="11"/>
    </row>
    <row r="652" spans="7:15" ht="14.25" customHeight="1" x14ac:dyDescent="0.35">
      <c r="G652" s="39"/>
      <c r="N652" s="11"/>
      <c r="O652" s="11"/>
    </row>
    <row r="653" spans="7:15" ht="14.25" customHeight="1" x14ac:dyDescent="0.35">
      <c r="G653" s="39"/>
      <c r="N653" s="11"/>
      <c r="O653" s="11"/>
    </row>
    <row r="654" spans="7:15" ht="14.25" customHeight="1" x14ac:dyDescent="0.35">
      <c r="G654" s="39"/>
      <c r="N654" s="11"/>
      <c r="O654" s="11"/>
    </row>
    <row r="655" spans="7:15" ht="14.25" customHeight="1" x14ac:dyDescent="0.35">
      <c r="G655" s="39"/>
      <c r="N655" s="11"/>
      <c r="O655" s="11"/>
    </row>
    <row r="656" spans="7:15" ht="14.25" customHeight="1" x14ac:dyDescent="0.35">
      <c r="G656" s="39"/>
      <c r="N656" s="11"/>
      <c r="O656" s="11"/>
    </row>
    <row r="657" spans="7:15" ht="14.25" customHeight="1" x14ac:dyDescent="0.35">
      <c r="G657" s="39"/>
      <c r="N657" s="11"/>
      <c r="O657" s="11"/>
    </row>
    <row r="658" spans="7:15" ht="14.25" customHeight="1" x14ac:dyDescent="0.35">
      <c r="G658" s="39"/>
      <c r="N658" s="11"/>
      <c r="O658" s="11"/>
    </row>
    <row r="659" spans="7:15" ht="14.25" customHeight="1" x14ac:dyDescent="0.35">
      <c r="G659" s="39"/>
      <c r="N659" s="11"/>
      <c r="O659" s="11"/>
    </row>
    <row r="660" spans="7:15" ht="14.25" customHeight="1" x14ac:dyDescent="0.35">
      <c r="G660" s="39"/>
      <c r="N660" s="11"/>
      <c r="O660" s="11"/>
    </row>
    <row r="661" spans="7:15" ht="14.25" customHeight="1" x14ac:dyDescent="0.35">
      <c r="G661" s="39"/>
      <c r="N661" s="11"/>
      <c r="O661" s="11"/>
    </row>
    <row r="662" spans="7:15" ht="14.25" customHeight="1" x14ac:dyDescent="0.35">
      <c r="G662" s="39"/>
      <c r="N662" s="11"/>
      <c r="O662" s="11"/>
    </row>
    <row r="663" spans="7:15" ht="14.25" customHeight="1" x14ac:dyDescent="0.35">
      <c r="G663" s="39"/>
      <c r="N663" s="11"/>
      <c r="O663" s="11"/>
    </row>
    <row r="664" spans="7:15" ht="14.25" customHeight="1" x14ac:dyDescent="0.35">
      <c r="G664" s="39"/>
      <c r="N664" s="11"/>
      <c r="O664" s="11"/>
    </row>
    <row r="665" spans="7:15" ht="14.25" customHeight="1" x14ac:dyDescent="0.35">
      <c r="G665" s="39"/>
      <c r="N665" s="11"/>
      <c r="O665" s="11"/>
    </row>
    <row r="666" spans="7:15" ht="14.25" customHeight="1" x14ac:dyDescent="0.35">
      <c r="G666" s="39"/>
      <c r="N666" s="11"/>
      <c r="O666" s="11"/>
    </row>
    <row r="667" spans="7:15" ht="14.25" customHeight="1" x14ac:dyDescent="0.35">
      <c r="G667" s="39"/>
      <c r="N667" s="11"/>
      <c r="O667" s="11"/>
    </row>
    <row r="668" spans="7:15" ht="14.25" customHeight="1" x14ac:dyDescent="0.35">
      <c r="G668" s="39"/>
      <c r="N668" s="11"/>
      <c r="O668" s="11"/>
    </row>
    <row r="669" spans="7:15" ht="14.25" customHeight="1" x14ac:dyDescent="0.35">
      <c r="G669" s="39"/>
      <c r="N669" s="11"/>
      <c r="O669" s="11"/>
    </row>
    <row r="670" spans="7:15" ht="14.25" customHeight="1" x14ac:dyDescent="0.35">
      <c r="G670" s="39"/>
      <c r="N670" s="11"/>
      <c r="O670" s="11"/>
    </row>
    <row r="671" spans="7:15" ht="14.25" customHeight="1" x14ac:dyDescent="0.35">
      <c r="G671" s="39"/>
      <c r="N671" s="11"/>
      <c r="O671" s="11"/>
    </row>
    <row r="672" spans="7:15" ht="14.25" customHeight="1" x14ac:dyDescent="0.35">
      <c r="G672" s="39"/>
      <c r="N672" s="11"/>
      <c r="O672" s="11"/>
    </row>
    <row r="673" spans="7:15" ht="14.25" customHeight="1" x14ac:dyDescent="0.35">
      <c r="G673" s="39"/>
      <c r="N673" s="11"/>
      <c r="O673" s="11"/>
    </row>
    <row r="674" spans="7:15" ht="14.25" customHeight="1" x14ac:dyDescent="0.35">
      <c r="G674" s="39"/>
      <c r="N674" s="11"/>
      <c r="O674" s="11"/>
    </row>
    <row r="675" spans="7:15" ht="14.25" customHeight="1" x14ac:dyDescent="0.35">
      <c r="G675" s="39"/>
      <c r="N675" s="11"/>
      <c r="O675" s="11"/>
    </row>
    <row r="676" spans="7:15" ht="14.25" customHeight="1" x14ac:dyDescent="0.35">
      <c r="G676" s="39"/>
      <c r="N676" s="11"/>
      <c r="O676" s="11"/>
    </row>
    <row r="677" spans="7:15" ht="14.25" customHeight="1" x14ac:dyDescent="0.35">
      <c r="G677" s="39"/>
      <c r="N677" s="11"/>
      <c r="O677" s="11"/>
    </row>
    <row r="678" spans="7:15" ht="14.25" customHeight="1" x14ac:dyDescent="0.35">
      <c r="G678" s="39"/>
      <c r="N678" s="11"/>
      <c r="O678" s="11"/>
    </row>
    <row r="679" spans="7:15" ht="14.25" customHeight="1" x14ac:dyDescent="0.35">
      <c r="G679" s="39"/>
      <c r="N679" s="11"/>
      <c r="O679" s="11"/>
    </row>
    <row r="680" spans="7:15" ht="14.25" customHeight="1" x14ac:dyDescent="0.35">
      <c r="G680" s="39"/>
      <c r="N680" s="11"/>
      <c r="O680" s="11"/>
    </row>
    <row r="681" spans="7:15" ht="14.25" customHeight="1" x14ac:dyDescent="0.35">
      <c r="G681" s="39"/>
      <c r="N681" s="11"/>
      <c r="O681" s="11"/>
    </row>
    <row r="682" spans="7:15" ht="14.25" customHeight="1" x14ac:dyDescent="0.35">
      <c r="G682" s="39"/>
      <c r="N682" s="11"/>
      <c r="O682" s="11"/>
    </row>
    <row r="683" spans="7:15" ht="14.25" customHeight="1" x14ac:dyDescent="0.35">
      <c r="G683" s="39"/>
      <c r="N683" s="11"/>
      <c r="O683" s="11"/>
    </row>
    <row r="684" spans="7:15" ht="14.25" customHeight="1" x14ac:dyDescent="0.35">
      <c r="G684" s="39"/>
      <c r="N684" s="11"/>
      <c r="O684" s="11"/>
    </row>
    <row r="685" spans="7:15" ht="14.25" customHeight="1" x14ac:dyDescent="0.35">
      <c r="G685" s="39"/>
      <c r="N685" s="11"/>
      <c r="O685" s="11"/>
    </row>
    <row r="686" spans="7:15" ht="14.25" customHeight="1" x14ac:dyDescent="0.35">
      <c r="G686" s="39"/>
      <c r="N686" s="11"/>
      <c r="O686" s="11"/>
    </row>
    <row r="687" spans="7:15" ht="14.25" customHeight="1" x14ac:dyDescent="0.35">
      <c r="G687" s="39"/>
      <c r="N687" s="11"/>
      <c r="O687" s="11"/>
    </row>
    <row r="688" spans="7:15" ht="14.25" customHeight="1" x14ac:dyDescent="0.35">
      <c r="G688" s="39"/>
      <c r="N688" s="11"/>
      <c r="O688" s="11"/>
    </row>
    <row r="689" spans="7:15" ht="14.25" customHeight="1" x14ac:dyDescent="0.35">
      <c r="G689" s="39"/>
      <c r="N689" s="11"/>
      <c r="O689" s="11"/>
    </row>
    <row r="690" spans="7:15" ht="14.25" customHeight="1" x14ac:dyDescent="0.35">
      <c r="G690" s="39"/>
      <c r="N690" s="11"/>
      <c r="O690" s="11"/>
    </row>
    <row r="691" spans="7:15" ht="14.25" customHeight="1" x14ac:dyDescent="0.35">
      <c r="G691" s="39"/>
      <c r="N691" s="11"/>
      <c r="O691" s="11"/>
    </row>
    <row r="692" spans="7:15" ht="14.25" customHeight="1" x14ac:dyDescent="0.35">
      <c r="G692" s="39"/>
      <c r="N692" s="11"/>
      <c r="O692" s="11"/>
    </row>
    <row r="693" spans="7:15" ht="14.25" customHeight="1" x14ac:dyDescent="0.35">
      <c r="G693" s="39"/>
      <c r="N693" s="11"/>
      <c r="O693" s="11"/>
    </row>
    <row r="694" spans="7:15" ht="14.25" customHeight="1" x14ac:dyDescent="0.35">
      <c r="G694" s="39"/>
      <c r="N694" s="11"/>
      <c r="O694" s="11"/>
    </row>
    <row r="695" spans="7:15" ht="14.25" customHeight="1" x14ac:dyDescent="0.35">
      <c r="G695" s="39"/>
      <c r="N695" s="11"/>
      <c r="O695" s="11"/>
    </row>
    <row r="696" spans="7:15" ht="14.25" customHeight="1" x14ac:dyDescent="0.35">
      <c r="G696" s="39"/>
      <c r="N696" s="11"/>
      <c r="O696" s="11"/>
    </row>
    <row r="697" spans="7:15" ht="14.25" customHeight="1" x14ac:dyDescent="0.35">
      <c r="G697" s="39"/>
      <c r="N697" s="11"/>
      <c r="O697" s="11"/>
    </row>
    <row r="698" spans="7:15" ht="14.25" customHeight="1" x14ac:dyDescent="0.35">
      <c r="G698" s="39"/>
      <c r="N698" s="11"/>
      <c r="O698" s="11"/>
    </row>
    <row r="699" spans="7:15" ht="14.25" customHeight="1" x14ac:dyDescent="0.35">
      <c r="G699" s="39"/>
      <c r="N699" s="11"/>
      <c r="O699" s="11"/>
    </row>
    <row r="700" spans="7:15" ht="14.25" customHeight="1" x14ac:dyDescent="0.35">
      <c r="G700" s="39"/>
      <c r="N700" s="11"/>
      <c r="O700" s="11"/>
    </row>
    <row r="701" spans="7:15" ht="14.25" customHeight="1" x14ac:dyDescent="0.35">
      <c r="G701" s="39"/>
      <c r="N701" s="11"/>
      <c r="O701" s="11"/>
    </row>
    <row r="702" spans="7:15" ht="14.25" customHeight="1" x14ac:dyDescent="0.35">
      <c r="G702" s="39"/>
      <c r="N702" s="11"/>
      <c r="O702" s="11"/>
    </row>
    <row r="703" spans="7:15" ht="14.25" customHeight="1" x14ac:dyDescent="0.35">
      <c r="G703" s="39"/>
      <c r="N703" s="11"/>
      <c r="O703" s="11"/>
    </row>
    <row r="704" spans="7:15" ht="14.25" customHeight="1" x14ac:dyDescent="0.35">
      <c r="G704" s="39"/>
      <c r="N704" s="11"/>
      <c r="O704" s="11"/>
    </row>
    <row r="705" spans="7:15" ht="14.25" customHeight="1" x14ac:dyDescent="0.35">
      <c r="G705" s="39"/>
      <c r="N705" s="11"/>
      <c r="O705" s="11"/>
    </row>
    <row r="706" spans="7:15" ht="14.25" customHeight="1" x14ac:dyDescent="0.35">
      <c r="G706" s="39"/>
      <c r="N706" s="11"/>
      <c r="O706" s="11"/>
    </row>
    <row r="707" spans="7:15" ht="14.25" customHeight="1" x14ac:dyDescent="0.35">
      <c r="G707" s="39"/>
      <c r="N707" s="11"/>
      <c r="O707" s="11"/>
    </row>
    <row r="708" spans="7:15" ht="14.25" customHeight="1" x14ac:dyDescent="0.35">
      <c r="G708" s="39"/>
      <c r="N708" s="11"/>
      <c r="O708" s="11"/>
    </row>
    <row r="709" spans="7:15" ht="14.25" customHeight="1" x14ac:dyDescent="0.35">
      <c r="G709" s="39"/>
      <c r="N709" s="11"/>
      <c r="O709" s="11"/>
    </row>
    <row r="710" spans="7:15" ht="14.25" customHeight="1" x14ac:dyDescent="0.35">
      <c r="G710" s="39"/>
      <c r="N710" s="11"/>
      <c r="O710" s="11"/>
    </row>
    <row r="711" spans="7:15" ht="14.25" customHeight="1" x14ac:dyDescent="0.35">
      <c r="G711" s="39"/>
      <c r="N711" s="11"/>
      <c r="O711" s="11"/>
    </row>
    <row r="712" spans="7:15" ht="14.25" customHeight="1" x14ac:dyDescent="0.35">
      <c r="G712" s="39"/>
      <c r="N712" s="11"/>
      <c r="O712" s="11"/>
    </row>
    <row r="713" spans="7:15" ht="14.25" customHeight="1" x14ac:dyDescent="0.35">
      <c r="G713" s="39"/>
      <c r="N713" s="11"/>
      <c r="O713" s="11"/>
    </row>
    <row r="714" spans="7:15" ht="14.25" customHeight="1" x14ac:dyDescent="0.35">
      <c r="G714" s="39"/>
      <c r="N714" s="11"/>
      <c r="O714" s="11"/>
    </row>
    <row r="715" spans="7:15" ht="14.25" customHeight="1" x14ac:dyDescent="0.35">
      <c r="G715" s="39"/>
      <c r="N715" s="11"/>
      <c r="O715" s="11"/>
    </row>
    <row r="716" spans="7:15" ht="14.25" customHeight="1" x14ac:dyDescent="0.35">
      <c r="G716" s="39"/>
      <c r="N716" s="11"/>
      <c r="O716" s="11"/>
    </row>
    <row r="717" spans="7:15" ht="14.25" customHeight="1" x14ac:dyDescent="0.35">
      <c r="G717" s="39"/>
      <c r="N717" s="11"/>
      <c r="O717" s="11"/>
    </row>
    <row r="718" spans="7:15" ht="14.25" customHeight="1" x14ac:dyDescent="0.35">
      <c r="G718" s="39"/>
      <c r="N718" s="11"/>
      <c r="O718" s="11"/>
    </row>
    <row r="719" spans="7:15" ht="14.25" customHeight="1" x14ac:dyDescent="0.35">
      <c r="G719" s="39"/>
      <c r="N719" s="11"/>
      <c r="O719" s="11"/>
    </row>
    <row r="720" spans="7:15" ht="14.25" customHeight="1" x14ac:dyDescent="0.35">
      <c r="G720" s="39"/>
      <c r="N720" s="11"/>
      <c r="O720" s="11"/>
    </row>
    <row r="721" spans="7:15" ht="14.25" customHeight="1" x14ac:dyDescent="0.35">
      <c r="G721" s="39"/>
      <c r="N721" s="11"/>
      <c r="O721" s="11"/>
    </row>
    <row r="722" spans="7:15" ht="14.25" customHeight="1" x14ac:dyDescent="0.35">
      <c r="G722" s="39"/>
      <c r="N722" s="11"/>
      <c r="O722" s="11"/>
    </row>
    <row r="723" spans="7:15" ht="14.25" customHeight="1" x14ac:dyDescent="0.35">
      <c r="G723" s="39"/>
      <c r="N723" s="11"/>
      <c r="O723" s="11"/>
    </row>
    <row r="724" spans="7:15" ht="14.25" customHeight="1" x14ac:dyDescent="0.35">
      <c r="G724" s="39"/>
      <c r="N724" s="11"/>
      <c r="O724" s="11"/>
    </row>
    <row r="725" spans="7:15" ht="14.25" customHeight="1" x14ac:dyDescent="0.35">
      <c r="G725" s="39"/>
      <c r="N725" s="11"/>
      <c r="O725" s="11"/>
    </row>
    <row r="726" spans="7:15" ht="14.25" customHeight="1" x14ac:dyDescent="0.35">
      <c r="G726" s="39"/>
      <c r="N726" s="11"/>
      <c r="O726" s="11"/>
    </row>
    <row r="727" spans="7:15" ht="14.25" customHeight="1" x14ac:dyDescent="0.35">
      <c r="G727" s="39"/>
      <c r="N727" s="11"/>
      <c r="O727" s="11"/>
    </row>
    <row r="728" spans="7:15" ht="14.25" customHeight="1" x14ac:dyDescent="0.35">
      <c r="G728" s="39"/>
      <c r="N728" s="11"/>
      <c r="O728" s="11"/>
    </row>
    <row r="729" spans="7:15" ht="14.25" customHeight="1" x14ac:dyDescent="0.35">
      <c r="G729" s="39"/>
      <c r="N729" s="11"/>
      <c r="O729" s="11"/>
    </row>
    <row r="730" spans="7:15" ht="14.25" customHeight="1" x14ac:dyDescent="0.35">
      <c r="G730" s="39"/>
      <c r="N730" s="11"/>
      <c r="O730" s="11"/>
    </row>
    <row r="731" spans="7:15" ht="14.25" customHeight="1" x14ac:dyDescent="0.35">
      <c r="G731" s="39"/>
      <c r="N731" s="11"/>
      <c r="O731" s="11"/>
    </row>
    <row r="732" spans="7:15" ht="14.25" customHeight="1" x14ac:dyDescent="0.35">
      <c r="G732" s="39"/>
      <c r="N732" s="11"/>
      <c r="O732" s="11"/>
    </row>
    <row r="733" spans="7:15" ht="14.25" customHeight="1" x14ac:dyDescent="0.35">
      <c r="G733" s="39"/>
      <c r="N733" s="11"/>
      <c r="O733" s="11"/>
    </row>
    <row r="734" spans="7:15" ht="14.25" customHeight="1" x14ac:dyDescent="0.35">
      <c r="G734" s="39"/>
      <c r="N734" s="11"/>
      <c r="O734" s="11"/>
    </row>
    <row r="735" spans="7:15" ht="14.25" customHeight="1" x14ac:dyDescent="0.35">
      <c r="G735" s="39"/>
      <c r="N735" s="11"/>
      <c r="O735" s="11"/>
    </row>
    <row r="736" spans="7:15" ht="14.25" customHeight="1" x14ac:dyDescent="0.35">
      <c r="G736" s="39"/>
      <c r="N736" s="11"/>
      <c r="O736" s="11"/>
    </row>
    <row r="737" spans="7:15" ht="14.25" customHeight="1" x14ac:dyDescent="0.35">
      <c r="G737" s="39"/>
      <c r="N737" s="11"/>
      <c r="O737" s="11"/>
    </row>
    <row r="738" spans="7:15" ht="14.25" customHeight="1" x14ac:dyDescent="0.35">
      <c r="G738" s="39"/>
      <c r="N738" s="11"/>
      <c r="O738" s="11"/>
    </row>
    <row r="739" spans="7:15" ht="14.25" customHeight="1" x14ac:dyDescent="0.35">
      <c r="G739" s="39"/>
      <c r="N739" s="11"/>
      <c r="O739" s="11"/>
    </row>
    <row r="740" spans="7:15" ht="14.25" customHeight="1" x14ac:dyDescent="0.35">
      <c r="G740" s="39"/>
      <c r="N740" s="11"/>
      <c r="O740" s="11"/>
    </row>
    <row r="741" spans="7:15" ht="14.25" customHeight="1" x14ac:dyDescent="0.35">
      <c r="G741" s="39"/>
      <c r="N741" s="11"/>
      <c r="O741" s="11"/>
    </row>
    <row r="742" spans="7:15" ht="14.25" customHeight="1" x14ac:dyDescent="0.35">
      <c r="G742" s="39"/>
      <c r="N742" s="11"/>
      <c r="O742" s="11"/>
    </row>
    <row r="743" spans="7:15" ht="14.25" customHeight="1" x14ac:dyDescent="0.35">
      <c r="G743" s="39"/>
      <c r="N743" s="11"/>
      <c r="O743" s="11"/>
    </row>
    <row r="744" spans="7:15" ht="14.25" customHeight="1" x14ac:dyDescent="0.35">
      <c r="G744" s="39"/>
      <c r="N744" s="11"/>
      <c r="O744" s="11"/>
    </row>
    <row r="745" spans="7:15" ht="14.25" customHeight="1" x14ac:dyDescent="0.35">
      <c r="G745" s="39"/>
      <c r="N745" s="11"/>
      <c r="O745" s="11"/>
    </row>
    <row r="746" spans="7:15" ht="14.25" customHeight="1" x14ac:dyDescent="0.35">
      <c r="G746" s="39"/>
      <c r="N746" s="11"/>
      <c r="O746" s="11"/>
    </row>
    <row r="747" spans="7:15" ht="14.25" customHeight="1" x14ac:dyDescent="0.35">
      <c r="G747" s="39"/>
      <c r="N747" s="11"/>
      <c r="O747" s="11"/>
    </row>
    <row r="748" spans="7:15" ht="14.25" customHeight="1" x14ac:dyDescent="0.35">
      <c r="G748" s="39"/>
      <c r="N748" s="11"/>
      <c r="O748" s="11"/>
    </row>
    <row r="749" spans="7:15" ht="14.25" customHeight="1" x14ac:dyDescent="0.35">
      <c r="G749" s="39"/>
      <c r="N749" s="11"/>
      <c r="O749" s="11"/>
    </row>
    <row r="750" spans="7:15" ht="14.25" customHeight="1" x14ac:dyDescent="0.35">
      <c r="G750" s="39"/>
      <c r="N750" s="11"/>
      <c r="O750" s="11"/>
    </row>
    <row r="751" spans="7:15" ht="14.25" customHeight="1" x14ac:dyDescent="0.35">
      <c r="G751" s="39"/>
      <c r="N751" s="11"/>
      <c r="O751" s="11"/>
    </row>
    <row r="752" spans="7:15" ht="14.25" customHeight="1" x14ac:dyDescent="0.35">
      <c r="G752" s="39"/>
      <c r="N752" s="11"/>
      <c r="O752" s="11"/>
    </row>
    <row r="753" spans="7:15" ht="14.25" customHeight="1" x14ac:dyDescent="0.35">
      <c r="G753" s="39"/>
      <c r="N753" s="11"/>
      <c r="O753" s="11"/>
    </row>
    <row r="754" spans="7:15" ht="14.25" customHeight="1" x14ac:dyDescent="0.35">
      <c r="G754" s="39"/>
      <c r="N754" s="11"/>
      <c r="O754" s="11"/>
    </row>
    <row r="755" spans="7:15" ht="14.25" customHeight="1" x14ac:dyDescent="0.35">
      <c r="G755" s="39"/>
      <c r="N755" s="11"/>
      <c r="O755" s="11"/>
    </row>
    <row r="756" spans="7:15" ht="14.25" customHeight="1" x14ac:dyDescent="0.35">
      <c r="G756" s="39"/>
      <c r="N756" s="11"/>
      <c r="O756" s="11"/>
    </row>
    <row r="757" spans="7:15" ht="14.25" customHeight="1" x14ac:dyDescent="0.35">
      <c r="G757" s="39"/>
      <c r="N757" s="11"/>
      <c r="O757" s="11"/>
    </row>
    <row r="758" spans="7:15" ht="14.25" customHeight="1" x14ac:dyDescent="0.35">
      <c r="G758" s="39"/>
      <c r="N758" s="11"/>
      <c r="O758" s="11"/>
    </row>
    <row r="759" spans="7:15" ht="14.25" customHeight="1" x14ac:dyDescent="0.35">
      <c r="G759" s="39"/>
      <c r="N759" s="11"/>
      <c r="O759" s="11"/>
    </row>
    <row r="760" spans="7:15" ht="14.25" customHeight="1" x14ac:dyDescent="0.35">
      <c r="G760" s="39"/>
      <c r="N760" s="11"/>
      <c r="O760" s="11"/>
    </row>
    <row r="761" spans="7:15" ht="14.25" customHeight="1" x14ac:dyDescent="0.35">
      <c r="G761" s="39"/>
      <c r="N761" s="11"/>
      <c r="O761" s="11"/>
    </row>
    <row r="762" spans="7:15" ht="14.25" customHeight="1" x14ac:dyDescent="0.35">
      <c r="G762" s="39"/>
      <c r="N762" s="11"/>
      <c r="O762" s="11"/>
    </row>
    <row r="763" spans="7:15" ht="14.25" customHeight="1" x14ac:dyDescent="0.35">
      <c r="G763" s="39"/>
      <c r="N763" s="11"/>
      <c r="O763" s="11"/>
    </row>
    <row r="764" spans="7:15" ht="14.25" customHeight="1" x14ac:dyDescent="0.35">
      <c r="G764" s="39"/>
      <c r="N764" s="11"/>
      <c r="O764" s="11"/>
    </row>
    <row r="765" spans="7:15" ht="14.25" customHeight="1" x14ac:dyDescent="0.35">
      <c r="G765" s="39"/>
      <c r="N765" s="11"/>
      <c r="O765" s="11"/>
    </row>
    <row r="766" spans="7:15" ht="14.25" customHeight="1" x14ac:dyDescent="0.35">
      <c r="G766" s="39"/>
      <c r="N766" s="11"/>
      <c r="O766" s="11"/>
    </row>
    <row r="767" spans="7:15" ht="14.25" customHeight="1" x14ac:dyDescent="0.35">
      <c r="G767" s="39"/>
      <c r="N767" s="11"/>
      <c r="O767" s="11"/>
    </row>
    <row r="768" spans="7:15" ht="14.25" customHeight="1" x14ac:dyDescent="0.35">
      <c r="G768" s="39"/>
      <c r="N768" s="11"/>
      <c r="O768" s="11"/>
    </row>
    <row r="769" spans="7:15" ht="14.25" customHeight="1" x14ac:dyDescent="0.35">
      <c r="G769" s="39"/>
      <c r="N769" s="11"/>
      <c r="O769" s="11"/>
    </row>
    <row r="770" spans="7:15" ht="14.25" customHeight="1" x14ac:dyDescent="0.35">
      <c r="G770" s="39"/>
      <c r="N770" s="11"/>
      <c r="O770" s="11"/>
    </row>
    <row r="771" spans="7:15" ht="14.25" customHeight="1" x14ac:dyDescent="0.35">
      <c r="G771" s="39"/>
      <c r="N771" s="11"/>
      <c r="O771" s="11"/>
    </row>
    <row r="772" spans="7:15" ht="14.25" customHeight="1" x14ac:dyDescent="0.35">
      <c r="G772" s="39"/>
      <c r="N772" s="11"/>
      <c r="O772" s="11"/>
    </row>
    <row r="773" spans="7:15" ht="14.25" customHeight="1" x14ac:dyDescent="0.35">
      <c r="G773" s="39"/>
      <c r="N773" s="11"/>
      <c r="O773" s="11"/>
    </row>
    <row r="774" spans="7:15" ht="14.25" customHeight="1" x14ac:dyDescent="0.35">
      <c r="G774" s="39"/>
      <c r="N774" s="11"/>
      <c r="O774" s="11"/>
    </row>
    <row r="775" spans="7:15" ht="14.25" customHeight="1" x14ac:dyDescent="0.35">
      <c r="G775" s="39"/>
      <c r="N775" s="11"/>
      <c r="O775" s="11"/>
    </row>
    <row r="776" spans="7:15" ht="14.25" customHeight="1" x14ac:dyDescent="0.35">
      <c r="G776" s="39"/>
      <c r="N776" s="11"/>
      <c r="O776" s="11"/>
    </row>
    <row r="777" spans="7:15" ht="14.25" customHeight="1" x14ac:dyDescent="0.35">
      <c r="G777" s="39"/>
      <c r="N777" s="11"/>
      <c r="O777" s="11"/>
    </row>
    <row r="778" spans="7:15" ht="14.25" customHeight="1" x14ac:dyDescent="0.35">
      <c r="G778" s="39"/>
      <c r="N778" s="11"/>
      <c r="O778" s="11"/>
    </row>
    <row r="779" spans="7:15" ht="14.25" customHeight="1" x14ac:dyDescent="0.35">
      <c r="G779" s="39"/>
      <c r="N779" s="11"/>
      <c r="O779" s="11"/>
    </row>
    <row r="780" spans="7:15" ht="14.25" customHeight="1" x14ac:dyDescent="0.35">
      <c r="G780" s="39"/>
      <c r="N780" s="11"/>
      <c r="O780" s="11"/>
    </row>
    <row r="781" spans="7:15" ht="14.25" customHeight="1" x14ac:dyDescent="0.35">
      <c r="G781" s="39"/>
      <c r="N781" s="11"/>
      <c r="O781" s="11"/>
    </row>
    <row r="782" spans="7:15" ht="14.25" customHeight="1" x14ac:dyDescent="0.35">
      <c r="G782" s="39"/>
      <c r="N782" s="11"/>
      <c r="O782" s="11"/>
    </row>
    <row r="783" spans="7:15" ht="14.25" customHeight="1" x14ac:dyDescent="0.35">
      <c r="G783" s="39"/>
      <c r="N783" s="11"/>
      <c r="O783" s="11"/>
    </row>
    <row r="784" spans="7:15" ht="14.25" customHeight="1" x14ac:dyDescent="0.35">
      <c r="G784" s="39"/>
      <c r="N784" s="11"/>
      <c r="O784" s="11"/>
    </row>
    <row r="785" spans="7:15" ht="14.25" customHeight="1" x14ac:dyDescent="0.35">
      <c r="G785" s="39"/>
      <c r="N785" s="11"/>
      <c r="O785" s="11"/>
    </row>
    <row r="786" spans="7:15" ht="14.25" customHeight="1" x14ac:dyDescent="0.35">
      <c r="G786" s="39"/>
      <c r="N786" s="11"/>
      <c r="O786" s="11"/>
    </row>
    <row r="787" spans="7:15" ht="14.25" customHeight="1" x14ac:dyDescent="0.35">
      <c r="G787" s="39"/>
      <c r="N787" s="11"/>
      <c r="O787" s="11"/>
    </row>
    <row r="788" spans="7:15" ht="14.25" customHeight="1" x14ac:dyDescent="0.35">
      <c r="G788" s="39"/>
      <c r="N788" s="11"/>
      <c r="O788" s="11"/>
    </row>
    <row r="789" spans="7:15" ht="14.25" customHeight="1" x14ac:dyDescent="0.35">
      <c r="G789" s="39"/>
      <c r="N789" s="11"/>
      <c r="O789" s="11"/>
    </row>
    <row r="790" spans="7:15" ht="14.25" customHeight="1" x14ac:dyDescent="0.35">
      <c r="G790" s="39"/>
      <c r="N790" s="11"/>
      <c r="O790" s="11"/>
    </row>
    <row r="791" spans="7:15" ht="14.25" customHeight="1" x14ac:dyDescent="0.35">
      <c r="G791" s="39"/>
      <c r="N791" s="11"/>
      <c r="O791" s="11"/>
    </row>
    <row r="792" spans="7:15" ht="14.25" customHeight="1" x14ac:dyDescent="0.35">
      <c r="G792" s="39"/>
      <c r="N792" s="11"/>
      <c r="O792" s="11"/>
    </row>
    <row r="793" spans="7:15" ht="14.25" customHeight="1" x14ac:dyDescent="0.35">
      <c r="G793" s="39"/>
      <c r="N793" s="11"/>
      <c r="O793" s="11"/>
    </row>
    <row r="794" spans="7:15" ht="14.25" customHeight="1" x14ac:dyDescent="0.35">
      <c r="G794" s="39"/>
      <c r="N794" s="11"/>
      <c r="O794" s="11"/>
    </row>
    <row r="795" spans="7:15" ht="14.25" customHeight="1" x14ac:dyDescent="0.35">
      <c r="G795" s="39"/>
      <c r="N795" s="11"/>
      <c r="O795" s="11"/>
    </row>
    <row r="796" spans="7:15" ht="14.25" customHeight="1" x14ac:dyDescent="0.35">
      <c r="G796" s="39"/>
      <c r="N796" s="11"/>
      <c r="O796" s="11"/>
    </row>
    <row r="797" spans="7:15" ht="14.25" customHeight="1" x14ac:dyDescent="0.35">
      <c r="G797" s="39"/>
      <c r="N797" s="11"/>
      <c r="O797" s="11"/>
    </row>
    <row r="798" spans="7:15" ht="14.25" customHeight="1" x14ac:dyDescent="0.35">
      <c r="G798" s="39"/>
      <c r="N798" s="11"/>
      <c r="O798" s="11"/>
    </row>
    <row r="799" spans="7:15" ht="14.25" customHeight="1" x14ac:dyDescent="0.35">
      <c r="G799" s="39"/>
      <c r="N799" s="11"/>
      <c r="O799" s="11"/>
    </row>
    <row r="800" spans="7:15" ht="14.25" customHeight="1" x14ac:dyDescent="0.35">
      <c r="G800" s="39"/>
      <c r="N800" s="11"/>
      <c r="O800" s="11"/>
    </row>
    <row r="801" spans="7:15" ht="14.25" customHeight="1" x14ac:dyDescent="0.35">
      <c r="G801" s="39"/>
      <c r="N801" s="11"/>
      <c r="O801" s="11"/>
    </row>
    <row r="802" spans="7:15" ht="14.25" customHeight="1" x14ac:dyDescent="0.35">
      <c r="G802" s="39"/>
      <c r="N802" s="11"/>
      <c r="O802" s="11"/>
    </row>
    <row r="803" spans="7:15" ht="14.25" customHeight="1" x14ac:dyDescent="0.35">
      <c r="G803" s="39"/>
      <c r="N803" s="11"/>
      <c r="O803" s="11"/>
    </row>
    <row r="804" spans="7:15" ht="14.25" customHeight="1" x14ac:dyDescent="0.35">
      <c r="G804" s="39"/>
      <c r="N804" s="11"/>
      <c r="O804" s="11"/>
    </row>
    <row r="805" spans="7:15" ht="14.25" customHeight="1" x14ac:dyDescent="0.35">
      <c r="G805" s="39"/>
      <c r="N805" s="11"/>
      <c r="O805" s="11"/>
    </row>
    <row r="806" spans="7:15" ht="14.25" customHeight="1" x14ac:dyDescent="0.35">
      <c r="G806" s="39"/>
      <c r="N806" s="11"/>
      <c r="O806" s="11"/>
    </row>
    <row r="807" spans="7:15" ht="14.25" customHeight="1" x14ac:dyDescent="0.35">
      <c r="G807" s="39"/>
      <c r="N807" s="11"/>
      <c r="O807" s="11"/>
    </row>
    <row r="808" spans="7:15" ht="14.25" customHeight="1" x14ac:dyDescent="0.35">
      <c r="G808" s="39"/>
      <c r="N808" s="11"/>
      <c r="O808" s="11"/>
    </row>
    <row r="809" spans="7:15" ht="14.25" customHeight="1" x14ac:dyDescent="0.35">
      <c r="G809" s="39"/>
      <c r="N809" s="11"/>
      <c r="O809" s="11"/>
    </row>
    <row r="810" spans="7:15" ht="14.25" customHeight="1" x14ac:dyDescent="0.35">
      <c r="G810" s="39"/>
      <c r="N810" s="11"/>
      <c r="O810" s="11"/>
    </row>
    <row r="811" spans="7:15" ht="14.25" customHeight="1" x14ac:dyDescent="0.35">
      <c r="G811" s="39"/>
      <c r="N811" s="11"/>
      <c r="O811" s="11"/>
    </row>
    <row r="812" spans="7:15" ht="14.25" customHeight="1" x14ac:dyDescent="0.35">
      <c r="G812" s="39"/>
      <c r="N812" s="11"/>
      <c r="O812" s="11"/>
    </row>
    <row r="813" spans="7:15" ht="14.25" customHeight="1" x14ac:dyDescent="0.35">
      <c r="G813" s="39"/>
      <c r="N813" s="11"/>
      <c r="O813" s="11"/>
    </row>
    <row r="814" spans="7:15" ht="14.25" customHeight="1" x14ac:dyDescent="0.35">
      <c r="G814" s="39"/>
      <c r="N814" s="11"/>
      <c r="O814" s="11"/>
    </row>
    <row r="815" spans="7:15" ht="14.25" customHeight="1" x14ac:dyDescent="0.35">
      <c r="G815" s="39"/>
      <c r="N815" s="11"/>
      <c r="O815" s="11"/>
    </row>
    <row r="816" spans="7:15" ht="14.25" customHeight="1" x14ac:dyDescent="0.35">
      <c r="G816" s="39"/>
      <c r="N816" s="11"/>
      <c r="O816" s="11"/>
    </row>
    <row r="817" spans="7:15" ht="14.25" customHeight="1" x14ac:dyDescent="0.35">
      <c r="G817" s="39"/>
      <c r="N817" s="11"/>
      <c r="O817" s="11"/>
    </row>
    <row r="818" spans="7:15" ht="14.25" customHeight="1" x14ac:dyDescent="0.35">
      <c r="G818" s="39"/>
      <c r="N818" s="11"/>
      <c r="O818" s="11"/>
    </row>
    <row r="819" spans="7:15" ht="14.25" customHeight="1" x14ac:dyDescent="0.35">
      <c r="G819" s="39"/>
      <c r="N819" s="11"/>
      <c r="O819" s="11"/>
    </row>
    <row r="820" spans="7:15" ht="14.25" customHeight="1" x14ac:dyDescent="0.35">
      <c r="G820" s="39"/>
      <c r="N820" s="11"/>
      <c r="O820" s="11"/>
    </row>
    <row r="821" spans="7:15" ht="14.25" customHeight="1" x14ac:dyDescent="0.35">
      <c r="G821" s="39"/>
      <c r="N821" s="11"/>
      <c r="O821" s="11"/>
    </row>
    <row r="822" spans="7:15" ht="14.25" customHeight="1" x14ac:dyDescent="0.35">
      <c r="G822" s="39"/>
      <c r="N822" s="11"/>
      <c r="O822" s="11"/>
    </row>
    <row r="823" spans="7:15" ht="14.25" customHeight="1" x14ac:dyDescent="0.35">
      <c r="G823" s="39"/>
      <c r="N823" s="11"/>
      <c r="O823" s="11"/>
    </row>
    <row r="824" spans="7:15" ht="14.25" customHeight="1" x14ac:dyDescent="0.35">
      <c r="G824" s="39"/>
      <c r="N824" s="11"/>
      <c r="O824" s="11"/>
    </row>
    <row r="825" spans="7:15" ht="14.25" customHeight="1" x14ac:dyDescent="0.35">
      <c r="G825" s="39"/>
      <c r="N825" s="11"/>
      <c r="O825" s="11"/>
    </row>
    <row r="826" spans="7:15" ht="14.25" customHeight="1" x14ac:dyDescent="0.35">
      <c r="G826" s="39"/>
      <c r="N826" s="11"/>
      <c r="O826" s="11"/>
    </row>
    <row r="827" spans="7:15" ht="14.25" customHeight="1" x14ac:dyDescent="0.35">
      <c r="G827" s="39"/>
      <c r="N827" s="11"/>
      <c r="O827" s="11"/>
    </row>
    <row r="828" spans="7:15" ht="14.25" customHeight="1" x14ac:dyDescent="0.35">
      <c r="G828" s="39"/>
      <c r="N828" s="11"/>
      <c r="O828" s="11"/>
    </row>
    <row r="829" spans="7:15" ht="14.25" customHeight="1" x14ac:dyDescent="0.35">
      <c r="G829" s="39"/>
      <c r="N829" s="11"/>
      <c r="O829" s="11"/>
    </row>
    <row r="830" spans="7:15" ht="14.25" customHeight="1" x14ac:dyDescent="0.35">
      <c r="G830" s="39"/>
      <c r="N830" s="11"/>
      <c r="O830" s="11"/>
    </row>
    <row r="831" spans="7:15" ht="14.25" customHeight="1" x14ac:dyDescent="0.35">
      <c r="G831" s="39"/>
      <c r="N831" s="11"/>
      <c r="O831" s="11"/>
    </row>
    <row r="832" spans="7:15" ht="14.25" customHeight="1" x14ac:dyDescent="0.35">
      <c r="G832" s="39"/>
      <c r="N832" s="11"/>
      <c r="O832" s="11"/>
    </row>
    <row r="833" spans="7:15" ht="14.25" customHeight="1" x14ac:dyDescent="0.35">
      <c r="G833" s="39"/>
      <c r="N833" s="11"/>
      <c r="O833" s="11"/>
    </row>
    <row r="834" spans="7:15" ht="14.25" customHeight="1" x14ac:dyDescent="0.35">
      <c r="G834" s="39"/>
      <c r="N834" s="11"/>
      <c r="O834" s="11"/>
    </row>
    <row r="835" spans="7:15" ht="14.25" customHeight="1" x14ac:dyDescent="0.35">
      <c r="G835" s="39"/>
      <c r="N835" s="11"/>
      <c r="O835" s="11"/>
    </row>
    <row r="836" spans="7:15" ht="14.25" customHeight="1" x14ac:dyDescent="0.35">
      <c r="G836" s="39"/>
      <c r="N836" s="11"/>
      <c r="O836" s="11"/>
    </row>
    <row r="837" spans="7:15" ht="14.25" customHeight="1" x14ac:dyDescent="0.35">
      <c r="G837" s="39"/>
      <c r="N837" s="11"/>
      <c r="O837" s="11"/>
    </row>
    <row r="838" spans="7:15" ht="14.25" customHeight="1" x14ac:dyDescent="0.35">
      <c r="G838" s="39"/>
      <c r="N838" s="11"/>
      <c r="O838" s="11"/>
    </row>
    <row r="839" spans="7:15" ht="14.25" customHeight="1" x14ac:dyDescent="0.35">
      <c r="G839" s="39"/>
      <c r="N839" s="11"/>
      <c r="O839" s="11"/>
    </row>
    <row r="840" spans="7:15" ht="14.25" customHeight="1" x14ac:dyDescent="0.35">
      <c r="G840" s="39"/>
      <c r="N840" s="11"/>
      <c r="O840" s="11"/>
    </row>
    <row r="841" spans="7:15" ht="14.25" customHeight="1" x14ac:dyDescent="0.35">
      <c r="G841" s="39"/>
      <c r="N841" s="11"/>
      <c r="O841" s="11"/>
    </row>
    <row r="842" spans="7:15" ht="14.25" customHeight="1" x14ac:dyDescent="0.35">
      <c r="G842" s="39"/>
      <c r="N842" s="11"/>
      <c r="O842" s="11"/>
    </row>
    <row r="843" spans="7:15" ht="14.25" customHeight="1" x14ac:dyDescent="0.35">
      <c r="G843" s="39"/>
      <c r="N843" s="11"/>
      <c r="O843" s="11"/>
    </row>
    <row r="844" spans="7:15" ht="14.25" customHeight="1" x14ac:dyDescent="0.35">
      <c r="G844" s="39"/>
      <c r="N844" s="11"/>
      <c r="O844" s="11"/>
    </row>
    <row r="845" spans="7:15" ht="14.25" customHeight="1" x14ac:dyDescent="0.35">
      <c r="G845" s="39"/>
      <c r="N845" s="11"/>
      <c r="O845" s="11"/>
    </row>
    <row r="846" spans="7:15" ht="14.25" customHeight="1" x14ac:dyDescent="0.35">
      <c r="G846" s="39"/>
      <c r="N846" s="11"/>
      <c r="O846" s="11"/>
    </row>
    <row r="847" spans="7:15" ht="14.25" customHeight="1" x14ac:dyDescent="0.35">
      <c r="G847" s="39"/>
      <c r="N847" s="11"/>
      <c r="O847" s="11"/>
    </row>
    <row r="848" spans="7:15" ht="14.25" customHeight="1" x14ac:dyDescent="0.35">
      <c r="G848" s="39"/>
      <c r="N848" s="11"/>
      <c r="O848" s="11"/>
    </row>
    <row r="849" spans="7:15" ht="14.25" customHeight="1" x14ac:dyDescent="0.35">
      <c r="G849" s="39"/>
      <c r="N849" s="11"/>
      <c r="O849" s="11"/>
    </row>
    <row r="850" spans="7:15" ht="14.25" customHeight="1" x14ac:dyDescent="0.35">
      <c r="G850" s="39"/>
      <c r="N850" s="11"/>
      <c r="O850" s="11"/>
    </row>
    <row r="851" spans="7:15" ht="14.25" customHeight="1" x14ac:dyDescent="0.35">
      <c r="G851" s="39"/>
      <c r="N851" s="11"/>
      <c r="O851" s="11"/>
    </row>
    <row r="852" spans="7:15" ht="14.25" customHeight="1" x14ac:dyDescent="0.35">
      <c r="G852" s="39"/>
      <c r="N852" s="11"/>
      <c r="O852" s="11"/>
    </row>
    <row r="853" spans="7:15" ht="14.25" customHeight="1" x14ac:dyDescent="0.35">
      <c r="G853" s="39"/>
      <c r="N853" s="11"/>
      <c r="O853" s="11"/>
    </row>
    <row r="854" spans="7:15" ht="14.25" customHeight="1" x14ac:dyDescent="0.35">
      <c r="G854" s="39"/>
      <c r="N854" s="11"/>
      <c r="O854" s="11"/>
    </row>
    <row r="855" spans="7:15" ht="14.25" customHeight="1" x14ac:dyDescent="0.35">
      <c r="G855" s="39"/>
      <c r="N855" s="11"/>
      <c r="O855" s="11"/>
    </row>
    <row r="856" spans="7:15" ht="14.25" customHeight="1" x14ac:dyDescent="0.35">
      <c r="G856" s="39"/>
      <c r="N856" s="11"/>
      <c r="O856" s="11"/>
    </row>
    <row r="857" spans="7:15" ht="14.25" customHeight="1" x14ac:dyDescent="0.35">
      <c r="G857" s="39"/>
      <c r="N857" s="11"/>
      <c r="O857" s="11"/>
    </row>
    <row r="858" spans="7:15" ht="14.25" customHeight="1" x14ac:dyDescent="0.35">
      <c r="G858" s="39"/>
      <c r="N858" s="11"/>
      <c r="O858" s="11"/>
    </row>
    <row r="859" spans="7:15" ht="14.25" customHeight="1" x14ac:dyDescent="0.35">
      <c r="G859" s="39"/>
      <c r="N859" s="11"/>
      <c r="O859" s="11"/>
    </row>
    <row r="860" spans="7:15" ht="14.25" customHeight="1" x14ac:dyDescent="0.35">
      <c r="G860" s="39"/>
      <c r="N860" s="11"/>
      <c r="O860" s="11"/>
    </row>
    <row r="861" spans="7:15" ht="14.25" customHeight="1" x14ac:dyDescent="0.35">
      <c r="G861" s="39"/>
      <c r="N861" s="11"/>
      <c r="O861" s="11"/>
    </row>
    <row r="862" spans="7:15" ht="14.25" customHeight="1" x14ac:dyDescent="0.35">
      <c r="G862" s="39"/>
      <c r="N862" s="11"/>
      <c r="O862" s="11"/>
    </row>
    <row r="863" spans="7:15" ht="14.25" customHeight="1" x14ac:dyDescent="0.35">
      <c r="G863" s="39"/>
      <c r="N863" s="11"/>
      <c r="O863" s="11"/>
    </row>
    <row r="864" spans="7:15" ht="14.25" customHeight="1" x14ac:dyDescent="0.35">
      <c r="G864" s="39"/>
      <c r="N864" s="11"/>
      <c r="O864" s="11"/>
    </row>
    <row r="865" spans="7:15" ht="14.25" customHeight="1" x14ac:dyDescent="0.35">
      <c r="G865" s="39"/>
      <c r="N865" s="11"/>
      <c r="O865" s="11"/>
    </row>
    <row r="866" spans="7:15" ht="14.25" customHeight="1" x14ac:dyDescent="0.35">
      <c r="G866" s="39"/>
      <c r="N866" s="11"/>
      <c r="O866" s="11"/>
    </row>
    <row r="867" spans="7:15" ht="14.25" customHeight="1" x14ac:dyDescent="0.35">
      <c r="G867" s="39"/>
      <c r="N867" s="11"/>
      <c r="O867" s="11"/>
    </row>
    <row r="868" spans="7:15" ht="14.25" customHeight="1" x14ac:dyDescent="0.35">
      <c r="G868" s="39"/>
      <c r="N868" s="11"/>
      <c r="O868" s="11"/>
    </row>
    <row r="869" spans="7:15" ht="14.25" customHeight="1" x14ac:dyDescent="0.35">
      <c r="G869" s="39"/>
      <c r="N869" s="11"/>
      <c r="O869" s="11"/>
    </row>
    <row r="870" spans="7:15" ht="14.25" customHeight="1" x14ac:dyDescent="0.35">
      <c r="G870" s="39"/>
      <c r="N870" s="11"/>
      <c r="O870" s="11"/>
    </row>
    <row r="871" spans="7:15" ht="14.25" customHeight="1" x14ac:dyDescent="0.35">
      <c r="G871" s="39"/>
      <c r="N871" s="11"/>
      <c r="O871" s="11"/>
    </row>
    <row r="872" spans="7:15" ht="14.25" customHeight="1" x14ac:dyDescent="0.35">
      <c r="G872" s="39"/>
      <c r="N872" s="11"/>
      <c r="O872" s="11"/>
    </row>
    <row r="873" spans="7:15" ht="14.25" customHeight="1" x14ac:dyDescent="0.35">
      <c r="G873" s="39"/>
      <c r="N873" s="11"/>
      <c r="O873" s="11"/>
    </row>
    <row r="874" spans="7:15" ht="14.25" customHeight="1" x14ac:dyDescent="0.35">
      <c r="G874" s="39"/>
      <c r="N874" s="11"/>
      <c r="O874" s="11"/>
    </row>
    <row r="875" spans="7:15" ht="14.25" customHeight="1" x14ac:dyDescent="0.35">
      <c r="G875" s="39"/>
      <c r="N875" s="11"/>
      <c r="O875" s="11"/>
    </row>
    <row r="876" spans="7:15" ht="14.25" customHeight="1" x14ac:dyDescent="0.35">
      <c r="G876" s="39"/>
      <c r="N876" s="11"/>
      <c r="O876" s="11"/>
    </row>
    <row r="877" spans="7:15" ht="14.25" customHeight="1" x14ac:dyDescent="0.35">
      <c r="G877" s="39"/>
      <c r="N877" s="11"/>
      <c r="O877" s="11"/>
    </row>
    <row r="878" spans="7:15" ht="14.25" customHeight="1" x14ac:dyDescent="0.35">
      <c r="G878" s="39"/>
      <c r="N878" s="11"/>
      <c r="O878" s="11"/>
    </row>
    <row r="879" spans="7:15" ht="14.25" customHeight="1" x14ac:dyDescent="0.35">
      <c r="G879" s="39"/>
      <c r="N879" s="11"/>
      <c r="O879" s="11"/>
    </row>
    <row r="880" spans="7:15" ht="14.25" customHeight="1" x14ac:dyDescent="0.35">
      <c r="G880" s="39"/>
      <c r="N880" s="11"/>
      <c r="O880" s="11"/>
    </row>
    <row r="881" spans="7:15" ht="14.25" customHeight="1" x14ac:dyDescent="0.35">
      <c r="G881" s="39"/>
      <c r="N881" s="11"/>
      <c r="O881" s="11"/>
    </row>
    <row r="882" spans="7:15" ht="14.25" customHeight="1" x14ac:dyDescent="0.35">
      <c r="G882" s="39"/>
      <c r="N882" s="11"/>
      <c r="O882" s="11"/>
    </row>
    <row r="883" spans="7:15" ht="14.25" customHeight="1" x14ac:dyDescent="0.35">
      <c r="G883" s="39"/>
      <c r="N883" s="11"/>
      <c r="O883" s="11"/>
    </row>
    <row r="884" spans="7:15" ht="14.25" customHeight="1" x14ac:dyDescent="0.35">
      <c r="G884" s="39"/>
      <c r="N884" s="11"/>
      <c r="O884" s="11"/>
    </row>
    <row r="885" spans="7:15" ht="14.25" customHeight="1" x14ac:dyDescent="0.35">
      <c r="G885" s="39"/>
      <c r="N885" s="11"/>
      <c r="O885" s="11"/>
    </row>
    <row r="886" spans="7:15" ht="14.25" customHeight="1" x14ac:dyDescent="0.35">
      <c r="G886" s="39"/>
      <c r="N886" s="11"/>
      <c r="O886" s="11"/>
    </row>
    <row r="887" spans="7:15" ht="14.25" customHeight="1" x14ac:dyDescent="0.35">
      <c r="G887" s="39"/>
      <c r="N887" s="11"/>
      <c r="O887" s="11"/>
    </row>
    <row r="888" spans="7:15" ht="14.25" customHeight="1" x14ac:dyDescent="0.35">
      <c r="G888" s="39"/>
      <c r="N888" s="11"/>
      <c r="O888" s="11"/>
    </row>
    <row r="889" spans="7:15" ht="14.25" customHeight="1" x14ac:dyDescent="0.35">
      <c r="G889" s="39"/>
      <c r="N889" s="11"/>
      <c r="O889" s="11"/>
    </row>
    <row r="890" spans="7:15" ht="14.25" customHeight="1" x14ac:dyDescent="0.35">
      <c r="G890" s="39"/>
      <c r="N890" s="11"/>
      <c r="O890" s="11"/>
    </row>
    <row r="891" spans="7:15" ht="14.25" customHeight="1" x14ac:dyDescent="0.35">
      <c r="G891" s="39"/>
      <c r="N891" s="11"/>
      <c r="O891" s="11"/>
    </row>
    <row r="892" spans="7:15" ht="14.25" customHeight="1" x14ac:dyDescent="0.35">
      <c r="G892" s="39"/>
      <c r="N892" s="11"/>
      <c r="O892" s="11"/>
    </row>
    <row r="893" spans="7:15" ht="14.25" customHeight="1" x14ac:dyDescent="0.35">
      <c r="G893" s="39"/>
      <c r="N893" s="11"/>
      <c r="O893" s="11"/>
    </row>
    <row r="894" spans="7:15" ht="14.25" customHeight="1" x14ac:dyDescent="0.35">
      <c r="G894" s="39"/>
      <c r="N894" s="11"/>
      <c r="O894" s="11"/>
    </row>
    <row r="895" spans="7:15" ht="14.25" customHeight="1" x14ac:dyDescent="0.35">
      <c r="G895" s="39"/>
      <c r="N895" s="11"/>
      <c r="O895" s="11"/>
    </row>
    <row r="896" spans="7:15" ht="14.25" customHeight="1" x14ac:dyDescent="0.35">
      <c r="G896" s="39"/>
      <c r="N896" s="11"/>
      <c r="O896" s="11"/>
    </row>
    <row r="897" spans="7:15" ht="14.25" customHeight="1" x14ac:dyDescent="0.35">
      <c r="G897" s="39"/>
      <c r="N897" s="11"/>
      <c r="O897" s="11"/>
    </row>
    <row r="898" spans="7:15" ht="14.25" customHeight="1" x14ac:dyDescent="0.35">
      <c r="G898" s="39"/>
      <c r="N898" s="11"/>
      <c r="O898" s="11"/>
    </row>
    <row r="899" spans="7:15" ht="14.25" customHeight="1" x14ac:dyDescent="0.35">
      <c r="G899" s="39"/>
      <c r="N899" s="11"/>
      <c r="O899" s="11"/>
    </row>
    <row r="900" spans="7:15" ht="14.25" customHeight="1" x14ac:dyDescent="0.35">
      <c r="G900" s="39"/>
      <c r="N900" s="11"/>
      <c r="O900" s="11"/>
    </row>
    <row r="901" spans="7:15" ht="14.25" customHeight="1" x14ac:dyDescent="0.35">
      <c r="G901" s="39"/>
      <c r="N901" s="11"/>
      <c r="O901" s="11"/>
    </row>
    <row r="902" spans="7:15" ht="14.25" customHeight="1" x14ac:dyDescent="0.35">
      <c r="G902" s="39"/>
      <c r="N902" s="11"/>
      <c r="O902" s="11"/>
    </row>
    <row r="903" spans="7:15" ht="14.25" customHeight="1" x14ac:dyDescent="0.35">
      <c r="G903" s="39"/>
      <c r="N903" s="11"/>
      <c r="O903" s="11"/>
    </row>
    <row r="904" spans="7:15" ht="14.25" customHeight="1" x14ac:dyDescent="0.35">
      <c r="G904" s="39"/>
      <c r="N904" s="11"/>
      <c r="O904" s="11"/>
    </row>
    <row r="905" spans="7:15" ht="14.25" customHeight="1" x14ac:dyDescent="0.35">
      <c r="G905" s="39"/>
      <c r="N905" s="11"/>
      <c r="O905" s="11"/>
    </row>
    <row r="906" spans="7:15" ht="14.25" customHeight="1" x14ac:dyDescent="0.35">
      <c r="G906" s="39"/>
      <c r="N906" s="11"/>
      <c r="O906" s="11"/>
    </row>
    <row r="907" spans="7:15" ht="14.25" customHeight="1" x14ac:dyDescent="0.35">
      <c r="G907" s="39"/>
      <c r="N907" s="11"/>
      <c r="O907" s="11"/>
    </row>
    <row r="908" spans="7:15" ht="14.25" customHeight="1" x14ac:dyDescent="0.35">
      <c r="G908" s="39"/>
      <c r="N908" s="11"/>
      <c r="O908" s="11"/>
    </row>
    <row r="909" spans="7:15" ht="14.25" customHeight="1" x14ac:dyDescent="0.35">
      <c r="G909" s="39"/>
      <c r="N909" s="11"/>
      <c r="O909" s="11"/>
    </row>
    <row r="910" spans="7:15" ht="14.25" customHeight="1" x14ac:dyDescent="0.35">
      <c r="G910" s="39"/>
      <c r="N910" s="11"/>
      <c r="O910" s="11"/>
    </row>
    <row r="911" spans="7:15" ht="14.25" customHeight="1" x14ac:dyDescent="0.35">
      <c r="G911" s="39"/>
      <c r="N911" s="11"/>
      <c r="O911" s="11"/>
    </row>
    <row r="912" spans="7:15" ht="14.25" customHeight="1" x14ac:dyDescent="0.35">
      <c r="G912" s="39"/>
      <c r="N912" s="11"/>
      <c r="O912" s="11"/>
    </row>
    <row r="913" spans="7:15" ht="14.25" customHeight="1" x14ac:dyDescent="0.35">
      <c r="G913" s="39"/>
      <c r="N913" s="11"/>
      <c r="O913" s="11"/>
    </row>
    <row r="914" spans="7:15" ht="14.25" customHeight="1" x14ac:dyDescent="0.35">
      <c r="G914" s="39"/>
      <c r="N914" s="11"/>
      <c r="O914" s="11"/>
    </row>
    <row r="915" spans="7:15" ht="14.25" customHeight="1" x14ac:dyDescent="0.35">
      <c r="G915" s="39"/>
      <c r="N915" s="11"/>
      <c r="O915" s="11"/>
    </row>
    <row r="916" spans="7:15" ht="14.25" customHeight="1" x14ac:dyDescent="0.35">
      <c r="G916" s="39"/>
      <c r="N916" s="11"/>
      <c r="O916" s="11"/>
    </row>
    <row r="917" spans="7:15" ht="14.25" customHeight="1" x14ac:dyDescent="0.35">
      <c r="G917" s="39"/>
      <c r="N917" s="11"/>
      <c r="O917" s="11"/>
    </row>
    <row r="918" spans="7:15" ht="14.25" customHeight="1" x14ac:dyDescent="0.35">
      <c r="G918" s="39"/>
      <c r="N918" s="11"/>
      <c r="O918" s="11"/>
    </row>
    <row r="919" spans="7:15" ht="14.25" customHeight="1" x14ac:dyDescent="0.35">
      <c r="G919" s="39"/>
      <c r="N919" s="11"/>
      <c r="O919" s="11"/>
    </row>
    <row r="920" spans="7:15" ht="14.25" customHeight="1" x14ac:dyDescent="0.35">
      <c r="G920" s="39"/>
      <c r="N920" s="11"/>
      <c r="O920" s="11"/>
    </row>
    <row r="921" spans="7:15" ht="14.25" customHeight="1" x14ac:dyDescent="0.35">
      <c r="G921" s="39"/>
      <c r="N921" s="11"/>
      <c r="O921" s="11"/>
    </row>
    <row r="922" spans="7:15" ht="14.25" customHeight="1" x14ac:dyDescent="0.35">
      <c r="G922" s="39"/>
      <c r="N922" s="11"/>
      <c r="O922" s="11"/>
    </row>
    <row r="923" spans="7:15" ht="14.25" customHeight="1" x14ac:dyDescent="0.35">
      <c r="G923" s="39"/>
      <c r="N923" s="11"/>
      <c r="O923" s="11"/>
    </row>
    <row r="924" spans="7:15" ht="14.25" customHeight="1" x14ac:dyDescent="0.35">
      <c r="G924" s="39"/>
      <c r="N924" s="11"/>
      <c r="O924" s="11"/>
    </row>
    <row r="925" spans="7:15" ht="14.25" customHeight="1" x14ac:dyDescent="0.35">
      <c r="G925" s="39"/>
      <c r="N925" s="11"/>
      <c r="O925" s="11"/>
    </row>
    <row r="926" spans="7:15" ht="14.25" customHeight="1" x14ac:dyDescent="0.35">
      <c r="G926" s="39"/>
      <c r="N926" s="11"/>
      <c r="O926" s="11"/>
    </row>
    <row r="927" spans="7:15" ht="14.25" customHeight="1" x14ac:dyDescent="0.35">
      <c r="G927" s="39"/>
      <c r="N927" s="11"/>
      <c r="O927" s="11"/>
    </row>
    <row r="928" spans="7:15" ht="14.25" customHeight="1" x14ac:dyDescent="0.35">
      <c r="G928" s="39"/>
      <c r="N928" s="11"/>
      <c r="O928" s="11"/>
    </row>
    <row r="929" spans="7:15" ht="14.25" customHeight="1" x14ac:dyDescent="0.35">
      <c r="G929" s="39"/>
      <c r="N929" s="11"/>
      <c r="O929" s="11"/>
    </row>
    <row r="930" spans="7:15" ht="14.25" customHeight="1" x14ac:dyDescent="0.35">
      <c r="G930" s="39"/>
      <c r="N930" s="11"/>
      <c r="O930" s="11"/>
    </row>
    <row r="931" spans="7:15" ht="14.25" customHeight="1" x14ac:dyDescent="0.35">
      <c r="G931" s="39"/>
      <c r="N931" s="11"/>
      <c r="O931" s="11"/>
    </row>
    <row r="932" spans="7:15" ht="14.25" customHeight="1" x14ac:dyDescent="0.35">
      <c r="G932" s="39"/>
      <c r="N932" s="11"/>
      <c r="O932" s="11"/>
    </row>
    <row r="933" spans="7:15" ht="14.25" customHeight="1" x14ac:dyDescent="0.35">
      <c r="G933" s="39"/>
      <c r="N933" s="11"/>
      <c r="O933" s="11"/>
    </row>
    <row r="934" spans="7:15" ht="14.25" customHeight="1" x14ac:dyDescent="0.35">
      <c r="G934" s="39"/>
      <c r="N934" s="11"/>
      <c r="O934" s="11"/>
    </row>
    <row r="935" spans="7:15" ht="14.25" customHeight="1" x14ac:dyDescent="0.35">
      <c r="G935" s="39"/>
      <c r="N935" s="11"/>
      <c r="O935" s="11"/>
    </row>
    <row r="936" spans="7:15" ht="14.25" customHeight="1" x14ac:dyDescent="0.35">
      <c r="G936" s="39"/>
      <c r="N936" s="11"/>
      <c r="O936" s="11"/>
    </row>
    <row r="937" spans="7:15" ht="14.25" customHeight="1" x14ac:dyDescent="0.35">
      <c r="G937" s="39"/>
      <c r="N937" s="11"/>
      <c r="O937" s="11"/>
    </row>
    <row r="938" spans="7:15" ht="14.25" customHeight="1" x14ac:dyDescent="0.35">
      <c r="G938" s="39"/>
      <c r="N938" s="11"/>
      <c r="O938" s="11"/>
    </row>
    <row r="939" spans="7:15" ht="14.25" customHeight="1" x14ac:dyDescent="0.35">
      <c r="G939" s="39"/>
      <c r="N939" s="11"/>
      <c r="O939" s="11"/>
    </row>
    <row r="940" spans="7:15" ht="14.25" customHeight="1" x14ac:dyDescent="0.35">
      <c r="G940" s="39"/>
      <c r="N940" s="11"/>
      <c r="O940" s="11"/>
    </row>
    <row r="941" spans="7:15" ht="14.25" customHeight="1" x14ac:dyDescent="0.35">
      <c r="G941" s="39"/>
      <c r="N941" s="11"/>
      <c r="O941" s="11"/>
    </row>
    <row r="942" spans="7:15" ht="14.25" customHeight="1" x14ac:dyDescent="0.35">
      <c r="G942" s="39"/>
      <c r="N942" s="11"/>
      <c r="O942" s="11"/>
    </row>
    <row r="943" spans="7:15" ht="14.25" customHeight="1" x14ac:dyDescent="0.35">
      <c r="G943" s="39"/>
      <c r="N943" s="11"/>
      <c r="O943" s="11"/>
    </row>
    <row r="944" spans="7:15" ht="14.25" customHeight="1" x14ac:dyDescent="0.35">
      <c r="G944" s="39"/>
      <c r="N944" s="11"/>
      <c r="O944" s="11"/>
    </row>
    <row r="945" spans="7:15" ht="14.25" customHeight="1" x14ac:dyDescent="0.35">
      <c r="G945" s="39"/>
      <c r="N945" s="11"/>
      <c r="O945" s="11"/>
    </row>
    <row r="946" spans="7:15" ht="14.25" customHeight="1" x14ac:dyDescent="0.35">
      <c r="G946" s="39"/>
      <c r="N946" s="11"/>
      <c r="O946" s="11"/>
    </row>
    <row r="947" spans="7:15" ht="14.25" customHeight="1" x14ac:dyDescent="0.35">
      <c r="G947" s="39"/>
      <c r="N947" s="11"/>
      <c r="O947" s="11"/>
    </row>
    <row r="948" spans="7:15" ht="14.25" customHeight="1" x14ac:dyDescent="0.35">
      <c r="G948" s="39"/>
      <c r="N948" s="11"/>
      <c r="O948" s="11"/>
    </row>
    <row r="949" spans="7:15" ht="14.25" customHeight="1" x14ac:dyDescent="0.35">
      <c r="G949" s="39"/>
      <c r="N949" s="11"/>
      <c r="O949" s="11"/>
    </row>
    <row r="950" spans="7:15" ht="14.25" customHeight="1" x14ac:dyDescent="0.35">
      <c r="G950" s="39"/>
      <c r="N950" s="11"/>
      <c r="O950" s="11"/>
    </row>
    <row r="951" spans="7:15" ht="14.25" customHeight="1" x14ac:dyDescent="0.35">
      <c r="G951" s="39"/>
      <c r="N951" s="11"/>
      <c r="O951" s="11"/>
    </row>
    <row r="952" spans="7:15" ht="14.25" customHeight="1" x14ac:dyDescent="0.35">
      <c r="G952" s="39"/>
      <c r="N952" s="11"/>
      <c r="O952" s="11"/>
    </row>
    <row r="953" spans="7:15" ht="14.25" customHeight="1" x14ac:dyDescent="0.35">
      <c r="G953" s="39"/>
      <c r="N953" s="11"/>
      <c r="O953" s="11"/>
    </row>
    <row r="954" spans="7:15" ht="14.25" customHeight="1" x14ac:dyDescent="0.35">
      <c r="G954" s="39"/>
      <c r="N954" s="11"/>
      <c r="O954" s="11"/>
    </row>
    <row r="955" spans="7:15" ht="14.25" customHeight="1" x14ac:dyDescent="0.35">
      <c r="G955" s="39"/>
      <c r="N955" s="11"/>
      <c r="O955" s="11"/>
    </row>
    <row r="956" spans="7:15" ht="14.25" customHeight="1" x14ac:dyDescent="0.35">
      <c r="G956" s="39"/>
      <c r="N956" s="11"/>
      <c r="O956" s="11"/>
    </row>
    <row r="957" spans="7:15" ht="14.25" customHeight="1" x14ac:dyDescent="0.35">
      <c r="G957" s="39"/>
      <c r="N957" s="11"/>
      <c r="O957" s="11"/>
    </row>
    <row r="958" spans="7:15" ht="14.25" customHeight="1" x14ac:dyDescent="0.35">
      <c r="G958" s="39"/>
      <c r="N958" s="11"/>
      <c r="O958" s="11"/>
    </row>
    <row r="959" spans="7:15" ht="14.25" customHeight="1" x14ac:dyDescent="0.35">
      <c r="G959" s="39"/>
      <c r="N959" s="11"/>
      <c r="O959" s="11"/>
    </row>
    <row r="960" spans="7:15" ht="14.25" customHeight="1" x14ac:dyDescent="0.35">
      <c r="G960" s="39"/>
      <c r="N960" s="11"/>
      <c r="O960" s="11"/>
    </row>
    <row r="961" spans="7:15" ht="14.25" customHeight="1" x14ac:dyDescent="0.35">
      <c r="G961" s="39"/>
      <c r="N961" s="11"/>
      <c r="O961" s="11"/>
    </row>
    <row r="962" spans="7:15" ht="14.25" customHeight="1" x14ac:dyDescent="0.35">
      <c r="G962" s="39"/>
      <c r="N962" s="11"/>
      <c r="O962" s="11"/>
    </row>
    <row r="963" spans="7:15" ht="14.25" customHeight="1" x14ac:dyDescent="0.35">
      <c r="G963" s="39"/>
      <c r="N963" s="11"/>
      <c r="O963" s="11"/>
    </row>
    <row r="964" spans="7:15" ht="14.25" customHeight="1" x14ac:dyDescent="0.35">
      <c r="G964" s="39"/>
      <c r="N964" s="11"/>
      <c r="O964" s="11"/>
    </row>
    <row r="965" spans="7:15" ht="14.25" customHeight="1" x14ac:dyDescent="0.35">
      <c r="G965" s="39"/>
      <c r="N965" s="11"/>
      <c r="O965" s="11"/>
    </row>
    <row r="966" spans="7:15" ht="14.25" customHeight="1" x14ac:dyDescent="0.35">
      <c r="G966" s="39"/>
      <c r="N966" s="11"/>
      <c r="O966" s="11"/>
    </row>
    <row r="967" spans="7:15" ht="14.25" customHeight="1" x14ac:dyDescent="0.35">
      <c r="G967" s="39"/>
      <c r="N967" s="11"/>
      <c r="O967" s="11"/>
    </row>
    <row r="968" spans="7:15" ht="14.25" customHeight="1" x14ac:dyDescent="0.35">
      <c r="G968" s="39"/>
      <c r="N968" s="11"/>
      <c r="O968" s="11"/>
    </row>
    <row r="969" spans="7:15" ht="14.25" customHeight="1" x14ac:dyDescent="0.35">
      <c r="G969" s="39"/>
      <c r="N969" s="11"/>
      <c r="O969" s="11"/>
    </row>
    <row r="970" spans="7:15" ht="14.25" customHeight="1" x14ac:dyDescent="0.35">
      <c r="G970" s="39"/>
      <c r="N970" s="11"/>
      <c r="O970" s="11"/>
    </row>
    <row r="971" spans="7:15" ht="14.25" customHeight="1" x14ac:dyDescent="0.35">
      <c r="G971" s="39"/>
      <c r="N971" s="11"/>
      <c r="O971" s="11"/>
    </row>
    <row r="972" spans="7:15" ht="14.25" customHeight="1" x14ac:dyDescent="0.35">
      <c r="G972" s="39"/>
      <c r="N972" s="11"/>
      <c r="O972" s="11"/>
    </row>
    <row r="973" spans="7:15" ht="14.25" customHeight="1" x14ac:dyDescent="0.35">
      <c r="G973" s="39"/>
      <c r="N973" s="11"/>
      <c r="O973" s="11"/>
    </row>
    <row r="974" spans="7:15" ht="14.25" customHeight="1" x14ac:dyDescent="0.35">
      <c r="G974" s="39"/>
      <c r="N974" s="11"/>
      <c r="O974" s="11"/>
    </row>
    <row r="975" spans="7:15" ht="14.25" customHeight="1" x14ac:dyDescent="0.35">
      <c r="G975" s="39"/>
      <c r="N975" s="11"/>
      <c r="O975" s="11"/>
    </row>
    <row r="976" spans="7:15" ht="14.25" customHeight="1" x14ac:dyDescent="0.35">
      <c r="G976" s="39"/>
      <c r="N976" s="11"/>
      <c r="O976" s="11"/>
    </row>
    <row r="977" spans="7:15" ht="14.25" customHeight="1" x14ac:dyDescent="0.35">
      <c r="G977" s="39"/>
      <c r="N977" s="11"/>
      <c r="O977" s="11"/>
    </row>
    <row r="978" spans="7:15" ht="14.25" customHeight="1" x14ac:dyDescent="0.35">
      <c r="G978" s="39"/>
      <c r="N978" s="11"/>
      <c r="O978" s="11"/>
    </row>
    <row r="979" spans="7:15" ht="14.25" customHeight="1" x14ac:dyDescent="0.35">
      <c r="G979" s="39"/>
      <c r="N979" s="11"/>
      <c r="O979" s="11"/>
    </row>
    <row r="980" spans="7:15" ht="14.25" customHeight="1" x14ac:dyDescent="0.35">
      <c r="G980" s="39"/>
      <c r="N980" s="11"/>
      <c r="O980" s="11"/>
    </row>
    <row r="981" spans="7:15" ht="14.25" customHeight="1" x14ac:dyDescent="0.35">
      <c r="G981" s="39"/>
      <c r="N981" s="11"/>
      <c r="O981" s="11"/>
    </row>
    <row r="982" spans="7:15" ht="14.25" customHeight="1" x14ac:dyDescent="0.35">
      <c r="G982" s="39"/>
      <c r="N982" s="11"/>
      <c r="O982" s="11"/>
    </row>
    <row r="983" spans="7:15" ht="14.25" customHeight="1" x14ac:dyDescent="0.35">
      <c r="G983" s="39"/>
      <c r="N983" s="11"/>
      <c r="O983" s="11"/>
    </row>
    <row r="984" spans="7:15" ht="14.25" customHeight="1" x14ac:dyDescent="0.35">
      <c r="G984" s="39"/>
      <c r="N984" s="11"/>
      <c r="O984" s="11"/>
    </row>
    <row r="985" spans="7:15" ht="14.25" customHeight="1" x14ac:dyDescent="0.35">
      <c r="G985" s="39"/>
      <c r="N985" s="11"/>
      <c r="O985" s="11"/>
    </row>
    <row r="986" spans="7:15" ht="14.25" customHeight="1" x14ac:dyDescent="0.35">
      <c r="G986" s="39"/>
      <c r="N986" s="11"/>
      <c r="O986" s="11"/>
    </row>
    <row r="987" spans="7:15" ht="14.25" customHeight="1" x14ac:dyDescent="0.35">
      <c r="G987" s="39"/>
      <c r="N987" s="11"/>
      <c r="O987" s="11"/>
    </row>
    <row r="988" spans="7:15" ht="14.25" customHeight="1" x14ac:dyDescent="0.35">
      <c r="G988" s="39"/>
      <c r="N988" s="11"/>
      <c r="O988" s="11"/>
    </row>
    <row r="989" spans="7:15" ht="14.25" customHeight="1" x14ac:dyDescent="0.35">
      <c r="G989" s="39"/>
      <c r="N989" s="11"/>
      <c r="O989" s="11"/>
    </row>
    <row r="990" spans="7:15" ht="14.25" customHeight="1" x14ac:dyDescent="0.35">
      <c r="G990" s="39"/>
      <c r="N990" s="11"/>
      <c r="O990" s="11"/>
    </row>
    <row r="991" spans="7:15" ht="14.25" customHeight="1" x14ac:dyDescent="0.35">
      <c r="G991" s="39"/>
      <c r="N991" s="11"/>
      <c r="O991" s="11"/>
    </row>
    <row r="992" spans="7:15" ht="14.25" customHeight="1" x14ac:dyDescent="0.35">
      <c r="G992" s="39"/>
      <c r="N992" s="11"/>
      <c r="O992" s="11"/>
    </row>
    <row r="993" spans="7:15" ht="14.25" customHeight="1" x14ac:dyDescent="0.35">
      <c r="G993" s="39"/>
      <c r="N993" s="11"/>
      <c r="O993" s="11"/>
    </row>
    <row r="994" spans="7:15" ht="14.25" customHeight="1" x14ac:dyDescent="0.35">
      <c r="G994" s="39"/>
      <c r="N994" s="11"/>
      <c r="O994" s="11"/>
    </row>
    <row r="995" spans="7:15" ht="14.25" customHeight="1" x14ac:dyDescent="0.35">
      <c r="G995" s="39"/>
      <c r="N995" s="11"/>
      <c r="O995" s="11"/>
    </row>
    <row r="996" spans="7:15" ht="14.25" customHeight="1" x14ac:dyDescent="0.35">
      <c r="G996" s="39"/>
      <c r="N996" s="11"/>
      <c r="O996" s="11"/>
    </row>
    <row r="997" spans="7:15" ht="14.25" customHeight="1" x14ac:dyDescent="0.35">
      <c r="G997" s="39"/>
      <c r="N997" s="11"/>
      <c r="O997" s="11"/>
    </row>
    <row r="998" spans="7:15" ht="14.25" customHeight="1" x14ac:dyDescent="0.35">
      <c r="G998" s="39"/>
      <c r="N998" s="11"/>
      <c r="O998" s="11"/>
    </row>
    <row r="999" spans="7:15" ht="14.25" customHeight="1" x14ac:dyDescent="0.35">
      <c r="G999" s="39"/>
      <c r="N999" s="11"/>
      <c r="O999" s="11"/>
    </row>
    <row r="1000" spans="7:15" ht="14.25" customHeight="1" x14ac:dyDescent="0.35">
      <c r="G1000" s="39"/>
      <c r="N1000" s="11"/>
      <c r="O1000" s="11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opLeftCell="A16" workbookViewId="0"/>
  </sheetViews>
  <sheetFormatPr defaultColWidth="12.6328125" defaultRowHeight="15" customHeight="1" x14ac:dyDescent="0.35"/>
  <cols>
    <col min="1" max="3" width="8.6328125" customWidth="1"/>
    <col min="4" max="4" width="13.6328125" customWidth="1"/>
    <col min="5" max="5" width="25.26953125" customWidth="1"/>
    <col min="6" max="6" width="39.6328125" customWidth="1"/>
    <col min="7" max="7" width="32.453125" customWidth="1"/>
    <col min="8" max="8" width="30.36328125" customWidth="1"/>
    <col min="9" max="9" width="28.08984375" customWidth="1"/>
    <col min="10" max="11" width="18" customWidth="1"/>
    <col min="12" max="12" width="25.453125" customWidth="1"/>
    <col min="13" max="13" width="23.453125" customWidth="1"/>
    <col min="14" max="14" width="15.36328125" customWidth="1"/>
    <col min="15" max="15" width="24.6328125" customWidth="1"/>
    <col min="16" max="16" width="33.90625" customWidth="1"/>
    <col min="17" max="17" width="12.90625" customWidth="1"/>
    <col min="18" max="18" width="14.90625" customWidth="1"/>
    <col min="19" max="20" width="8.6328125" customWidth="1"/>
  </cols>
  <sheetData>
    <row r="1" spans="1:2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2" t="s">
        <v>17</v>
      </c>
      <c r="S1" s="4"/>
      <c r="T1" s="4"/>
    </row>
    <row r="2" spans="1:20" ht="14.25" customHeight="1" x14ac:dyDescent="0.35">
      <c r="A2" s="5">
        <v>1</v>
      </c>
      <c r="B2" s="6">
        <v>1</v>
      </c>
      <c r="C2" s="5">
        <v>1</v>
      </c>
      <c r="D2" s="7">
        <v>5086</v>
      </c>
      <c r="F2" s="8">
        <f t="shared" ref="F2:F17" si="0">$D$22+(C2*$D$23)</f>
        <v>7490.2749999999996</v>
      </c>
      <c r="G2" s="9">
        <f t="shared" ref="G2:G9" si="1">D2/F2</f>
        <v>0.67901378787828226</v>
      </c>
      <c r="H2" s="10">
        <f t="shared" ref="H2:H5" si="2">(G2+G6)/3</f>
        <v>0.44658902169609949</v>
      </c>
      <c r="I2" s="9">
        <f t="shared" ref="I2:I17" si="3">F2*H2</f>
        <v>3345.0745844847515</v>
      </c>
      <c r="J2" s="9">
        <f t="shared" ref="J2:J9" si="4">I2-D2</f>
        <v>-1740.9254155152485</v>
      </c>
      <c r="K2" s="9">
        <f t="array" ref="K2">AVERAGE($J$2:J2^2)</f>
        <v>3030821.3023869405</v>
      </c>
      <c r="L2" s="9">
        <f t="shared" ref="L2:L9" si="5">ABS(J2)</f>
        <v>1740.9254155152485</v>
      </c>
      <c r="M2" s="9">
        <f t="shared" ref="M2:M9" si="6">AVERAGE($L$2:L2)</f>
        <v>1740.9254155152485</v>
      </c>
      <c r="N2" s="9">
        <f t="shared" ref="N2:N9" si="7">100*(J2/D2)</f>
        <v>-34.22975649853025</v>
      </c>
      <c r="O2" s="9">
        <f t="shared" ref="O2:O9" si="8">(L2/D2)</f>
        <v>0.3422975649853025</v>
      </c>
      <c r="P2" s="11">
        <f t="shared" ref="P2:P9" si="9">AVERAGE($O$2:O2)</f>
        <v>0.3422975649853025</v>
      </c>
      <c r="Q2" s="9">
        <f t="shared" ref="Q2:Q9" si="10">SUM($J$2:J2)</f>
        <v>-1740.9254155152485</v>
      </c>
      <c r="R2" s="9">
        <f t="shared" ref="R2:R9" si="11">Q2/M2</f>
        <v>-1</v>
      </c>
    </row>
    <row r="3" spans="1:20" ht="14.25" customHeight="1" x14ac:dyDescent="0.35">
      <c r="A3" s="5">
        <v>1</v>
      </c>
      <c r="B3" s="6">
        <v>2</v>
      </c>
      <c r="C3" s="5">
        <v>2</v>
      </c>
      <c r="D3" s="7">
        <v>10171</v>
      </c>
      <c r="F3" s="8">
        <f t="shared" si="0"/>
        <v>8053.5624999999991</v>
      </c>
      <c r="G3" s="9">
        <f t="shared" si="1"/>
        <v>1.2629193602210202</v>
      </c>
      <c r="H3" s="10">
        <f t="shared" si="2"/>
        <v>0.8373684223261294</v>
      </c>
      <c r="I3" s="9">
        <f t="shared" si="3"/>
        <v>6743.7989247298774</v>
      </c>
      <c r="J3" s="9">
        <f t="shared" si="4"/>
        <v>-3427.2010752701226</v>
      </c>
      <c r="K3" s="9">
        <f t="array" ref="K3">AVERAGE($J$2:J3^2)</f>
        <v>7388264.2563598119</v>
      </c>
      <c r="L3" s="9">
        <f t="shared" si="5"/>
        <v>3427.2010752701226</v>
      </c>
      <c r="M3" s="9">
        <f t="shared" si="6"/>
        <v>2584.0632453926855</v>
      </c>
      <c r="N3" s="9">
        <f t="shared" si="7"/>
        <v>-33.695812361322609</v>
      </c>
      <c r="O3" s="9">
        <f t="shared" si="8"/>
        <v>0.33695812361322608</v>
      </c>
      <c r="P3" s="11">
        <f t="shared" si="9"/>
        <v>0.33962784429926429</v>
      </c>
      <c r="Q3" s="9">
        <f t="shared" si="10"/>
        <v>-5168.1264907853711</v>
      </c>
      <c r="R3" s="9">
        <f t="shared" si="11"/>
        <v>-2</v>
      </c>
    </row>
    <row r="4" spans="1:20" ht="14.25" customHeight="1" x14ac:dyDescent="0.35">
      <c r="A4" s="5">
        <v>1</v>
      </c>
      <c r="B4" s="6">
        <v>3</v>
      </c>
      <c r="C4" s="5">
        <v>3</v>
      </c>
      <c r="D4" s="7">
        <v>6781</v>
      </c>
      <c r="E4" s="9">
        <f t="shared" ref="E4:E7" si="12">(D2+D6+2*SUM(D3:D5))/8</f>
        <v>8645</v>
      </c>
      <c r="F4" s="8">
        <f t="shared" si="0"/>
        <v>8616.8499999999985</v>
      </c>
      <c r="G4" s="9">
        <f t="shared" si="1"/>
        <v>0.78694650597376081</v>
      </c>
      <c r="H4" s="10">
        <f t="shared" si="2"/>
        <v>0.52551697393237595</v>
      </c>
      <c r="I4" s="9">
        <f t="shared" si="3"/>
        <v>4528.3009368291932</v>
      </c>
      <c r="J4" s="9">
        <f t="shared" si="4"/>
        <v>-2252.6990631708068</v>
      </c>
      <c r="K4" s="9">
        <f t="array" ref="K4">AVERAGE($J$2:J4^2)</f>
        <v>6617060.5273100846</v>
      </c>
      <c r="L4" s="9">
        <f t="shared" si="5"/>
        <v>2252.6990631708068</v>
      </c>
      <c r="M4" s="9">
        <f t="shared" si="6"/>
        <v>2473.6085179853926</v>
      </c>
      <c r="N4" s="9">
        <f t="shared" si="7"/>
        <v>-33.220750083627884</v>
      </c>
      <c r="O4" s="9">
        <f t="shared" si="8"/>
        <v>0.33220750083627881</v>
      </c>
      <c r="P4" s="11">
        <f t="shared" si="9"/>
        <v>0.33715439647826911</v>
      </c>
      <c r="Q4" s="9">
        <f t="shared" si="10"/>
        <v>-7420.8255539561778</v>
      </c>
      <c r="R4" s="9">
        <f t="shared" si="11"/>
        <v>-3</v>
      </c>
    </row>
    <row r="5" spans="1:20" ht="14.25" customHeight="1" x14ac:dyDescent="0.35">
      <c r="A5" s="5">
        <v>1</v>
      </c>
      <c r="B5" s="6">
        <v>4</v>
      </c>
      <c r="C5" s="5">
        <v>4</v>
      </c>
      <c r="D5" s="7">
        <v>11866</v>
      </c>
      <c r="E5" s="9">
        <f t="shared" si="12"/>
        <v>9152</v>
      </c>
      <c r="F5" s="8">
        <f t="shared" si="0"/>
        <v>9180.1374999999989</v>
      </c>
      <c r="G5" s="9">
        <f t="shared" si="1"/>
        <v>1.2925732321547474</v>
      </c>
      <c r="H5" s="10">
        <f t="shared" si="2"/>
        <v>0.86878952876354754</v>
      </c>
      <c r="I5" s="9">
        <f t="shared" si="3"/>
        <v>7975.6073326095702</v>
      </c>
      <c r="J5" s="9">
        <f t="shared" si="4"/>
        <v>-3890.3926673904298</v>
      </c>
      <c r="K5" s="9">
        <f t="array" ref="K5">AVERAGE($J$2:J5^2)</f>
        <v>8746584.1721038688</v>
      </c>
      <c r="L5" s="9">
        <f t="shared" si="5"/>
        <v>3890.3926673904298</v>
      </c>
      <c r="M5" s="9">
        <f t="shared" si="6"/>
        <v>2827.8045553366519</v>
      </c>
      <c r="N5" s="9">
        <f t="shared" si="7"/>
        <v>-32.786049784176889</v>
      </c>
      <c r="O5" s="9">
        <f t="shared" si="8"/>
        <v>0.32786049784176891</v>
      </c>
      <c r="P5" s="11">
        <f t="shared" si="9"/>
        <v>0.33483092181914409</v>
      </c>
      <c r="Q5" s="9">
        <f t="shared" si="10"/>
        <v>-11311.218221346608</v>
      </c>
      <c r="R5" s="9">
        <f t="shared" si="11"/>
        <v>-4</v>
      </c>
    </row>
    <row r="6" spans="1:20" ht="14.25" customHeight="1" x14ac:dyDescent="0.35">
      <c r="A6" s="5">
        <v>2</v>
      </c>
      <c r="B6" s="6">
        <v>1</v>
      </c>
      <c r="C6" s="5">
        <v>5</v>
      </c>
      <c r="D6" s="7">
        <v>6438</v>
      </c>
      <c r="E6" s="9">
        <f t="shared" si="12"/>
        <v>9715.25</v>
      </c>
      <c r="F6" s="8">
        <f t="shared" si="0"/>
        <v>9743.4249999999993</v>
      </c>
      <c r="G6" s="9">
        <f t="shared" si="1"/>
        <v>0.66075327721001609</v>
      </c>
      <c r="H6" s="10">
        <f t="shared" ref="H6:H9" si="13">(G2+G6)/3</f>
        <v>0.44658902169609949</v>
      </c>
      <c r="I6" s="9">
        <f t="shared" si="3"/>
        <v>4351.3066387193176</v>
      </c>
      <c r="J6" s="9">
        <f t="shared" si="4"/>
        <v>-2086.6933612806824</v>
      </c>
      <c r="K6" s="9">
        <f t="array" ref="K6">AVERAGE($J$2:J6^2)</f>
        <v>7868125.1744856704</v>
      </c>
      <c r="L6" s="9">
        <f t="shared" si="5"/>
        <v>2086.6933612806824</v>
      </c>
      <c r="M6" s="9">
        <f t="shared" si="6"/>
        <v>2679.5823165254578</v>
      </c>
      <c r="N6" s="9">
        <f t="shared" si="7"/>
        <v>-32.412136708305098</v>
      </c>
      <c r="O6" s="9">
        <f t="shared" si="8"/>
        <v>0.324121367083051</v>
      </c>
      <c r="P6" s="11">
        <f t="shared" si="9"/>
        <v>0.33268901087192548</v>
      </c>
      <c r="Q6" s="9">
        <f t="shared" si="10"/>
        <v>-13397.91158262729</v>
      </c>
      <c r="R6" s="9">
        <f t="shared" si="11"/>
        <v>-5</v>
      </c>
      <c r="S6" s="12"/>
      <c r="T6" s="9"/>
    </row>
    <row r="7" spans="1:20" ht="14.25" customHeight="1" x14ac:dyDescent="0.35">
      <c r="A7" s="5">
        <v>2</v>
      </c>
      <c r="B7" s="6">
        <v>2</v>
      </c>
      <c r="C7" s="5">
        <v>6</v>
      </c>
      <c r="D7" s="7">
        <v>12875</v>
      </c>
      <c r="E7" s="9">
        <f t="shared" si="12"/>
        <v>10334.875</v>
      </c>
      <c r="F7" s="8">
        <f t="shared" si="0"/>
        <v>10306.7125</v>
      </c>
      <c r="G7" s="9">
        <f t="shared" si="1"/>
        <v>1.2491859067573681</v>
      </c>
      <c r="H7" s="10">
        <f t="shared" si="13"/>
        <v>0.8373684223261294</v>
      </c>
      <c r="I7" s="9">
        <f t="shared" si="3"/>
        <v>8630.5155854939967</v>
      </c>
      <c r="J7" s="9">
        <f t="shared" si="4"/>
        <v>-4244.4844145060033</v>
      </c>
      <c r="K7" s="9">
        <f t="array" ref="K7">AVERAGE($J$2:J7^2)</f>
        <v>9559378.9695687871</v>
      </c>
      <c r="L7" s="9">
        <f t="shared" si="5"/>
        <v>4244.4844145060033</v>
      </c>
      <c r="M7" s="9">
        <f t="shared" si="6"/>
        <v>2940.3993328555493</v>
      </c>
      <c r="N7" s="9">
        <f t="shared" si="7"/>
        <v>-32.966869238881578</v>
      </c>
      <c r="O7" s="9">
        <f t="shared" si="8"/>
        <v>0.3296686923888158</v>
      </c>
      <c r="P7" s="11">
        <f t="shared" si="9"/>
        <v>0.33218562445807387</v>
      </c>
      <c r="Q7" s="9">
        <f t="shared" si="10"/>
        <v>-17642.395997133295</v>
      </c>
      <c r="R7" s="9">
        <f t="shared" si="11"/>
        <v>-6</v>
      </c>
      <c r="S7" s="12"/>
      <c r="T7" s="9"/>
    </row>
    <row r="8" spans="1:20" ht="14.25" customHeight="1" x14ac:dyDescent="0.35">
      <c r="A8" s="5">
        <v>2</v>
      </c>
      <c r="B8" s="6">
        <v>3</v>
      </c>
      <c r="C8" s="5">
        <v>7</v>
      </c>
      <c r="D8" s="7">
        <v>8583</v>
      </c>
      <c r="F8" s="8">
        <f t="shared" si="0"/>
        <v>10870</v>
      </c>
      <c r="G8" s="9">
        <f t="shared" si="1"/>
        <v>0.78960441582336705</v>
      </c>
      <c r="H8" s="10">
        <f t="shared" si="13"/>
        <v>0.52551697393237595</v>
      </c>
      <c r="I8" s="9">
        <f t="shared" si="3"/>
        <v>5712.3695066449263</v>
      </c>
      <c r="J8" s="9">
        <f t="shared" si="4"/>
        <v>-2870.6304933550737</v>
      </c>
      <c r="K8" s="9">
        <f t="array" ref="K8">AVERAGE($J$2:J8^2)</f>
        <v>9370970.4638275299</v>
      </c>
      <c r="L8" s="9">
        <f t="shared" si="5"/>
        <v>2870.6304933550737</v>
      </c>
      <c r="M8" s="9">
        <f t="shared" si="6"/>
        <v>2930.432355784053</v>
      </c>
      <c r="N8" s="9">
        <f t="shared" si="7"/>
        <v>-33.445537613364486</v>
      </c>
      <c r="O8" s="9">
        <f t="shared" si="8"/>
        <v>0.33445537613364484</v>
      </c>
      <c r="P8" s="11">
        <f t="shared" si="9"/>
        <v>0.33250987469744114</v>
      </c>
      <c r="Q8" s="9">
        <f t="shared" si="10"/>
        <v>-20513.02649048837</v>
      </c>
      <c r="R8" s="9">
        <f t="shared" si="11"/>
        <v>-6.9999999999999991</v>
      </c>
      <c r="S8" s="12"/>
      <c r="T8" s="9"/>
    </row>
    <row r="9" spans="1:20" ht="14.25" customHeight="1" x14ac:dyDescent="0.35">
      <c r="A9" s="5">
        <v>2</v>
      </c>
      <c r="B9" s="6">
        <v>4</v>
      </c>
      <c r="C9" s="5">
        <v>8</v>
      </c>
      <c r="D9" s="7">
        <v>15021</v>
      </c>
      <c r="F9" s="8">
        <f t="shared" si="0"/>
        <v>11433.287499999999</v>
      </c>
      <c r="G9" s="9">
        <f t="shared" si="1"/>
        <v>1.3137953541358951</v>
      </c>
      <c r="H9" s="10">
        <f t="shared" si="13"/>
        <v>0.86878952876354754</v>
      </c>
      <c r="I9" s="9">
        <f t="shared" si="3"/>
        <v>9933.1204593431576</v>
      </c>
      <c r="J9" s="9">
        <f t="shared" si="4"/>
        <v>-5087.8795406568424</v>
      </c>
      <c r="K9" s="9">
        <f t="array" ref="K9">AVERAGE($J$2:J9^2)</f>
        <v>11435413.933378398</v>
      </c>
      <c r="L9" s="9">
        <f t="shared" si="5"/>
        <v>5087.8795406568424</v>
      </c>
      <c r="M9" s="9">
        <f t="shared" si="6"/>
        <v>3200.1132538931515</v>
      </c>
      <c r="N9" s="9">
        <f t="shared" si="7"/>
        <v>-33.871776450681331</v>
      </c>
      <c r="O9" s="9">
        <f t="shared" si="8"/>
        <v>0.33871776450681329</v>
      </c>
      <c r="P9" s="11">
        <f t="shared" si="9"/>
        <v>0.33328586092361268</v>
      </c>
      <c r="Q9" s="9">
        <f t="shared" si="10"/>
        <v>-25600.906031145212</v>
      </c>
      <c r="R9" s="9">
        <f t="shared" si="11"/>
        <v>-8</v>
      </c>
      <c r="S9" s="12"/>
      <c r="T9" s="9"/>
    </row>
    <row r="10" spans="1:20" ht="14.25" customHeight="1" x14ac:dyDescent="0.35">
      <c r="A10" s="5">
        <v>3</v>
      </c>
      <c r="B10" s="6">
        <v>1</v>
      </c>
      <c r="C10" s="5">
        <v>9</v>
      </c>
      <c r="F10" s="8">
        <f t="shared" si="0"/>
        <v>11996.575000000001</v>
      </c>
      <c r="G10" s="9"/>
      <c r="H10" s="10">
        <f t="shared" ref="H10:H13" si="14">(G2+G6)/3</f>
        <v>0.44658902169609949</v>
      </c>
      <c r="I10" s="9">
        <f t="shared" si="3"/>
        <v>5357.5386929538854</v>
      </c>
      <c r="J10" s="9"/>
      <c r="K10" s="9"/>
      <c r="L10" s="9"/>
      <c r="M10" s="9"/>
      <c r="N10" s="9"/>
      <c r="O10" s="9"/>
      <c r="P10" s="11"/>
      <c r="Q10" s="9"/>
      <c r="R10" s="9"/>
      <c r="S10" s="12"/>
      <c r="T10" s="9"/>
    </row>
    <row r="11" spans="1:20" ht="14.25" customHeight="1" x14ac:dyDescent="0.35">
      <c r="A11" s="5">
        <v>3</v>
      </c>
      <c r="B11" s="6">
        <v>2</v>
      </c>
      <c r="C11" s="5">
        <v>10</v>
      </c>
      <c r="F11" s="8">
        <f t="shared" si="0"/>
        <v>12559.862499999999</v>
      </c>
      <c r="G11" s="9"/>
      <c r="H11" s="10">
        <f t="shared" si="14"/>
        <v>0.8373684223261294</v>
      </c>
      <c r="I11" s="9">
        <f t="shared" si="3"/>
        <v>10517.232246258114</v>
      </c>
      <c r="J11" s="9"/>
      <c r="K11" s="9"/>
      <c r="L11" s="9"/>
      <c r="M11" s="9"/>
      <c r="N11" s="9"/>
      <c r="O11" s="9"/>
      <c r="P11" s="11"/>
      <c r="Q11" s="9"/>
      <c r="R11" s="9"/>
      <c r="S11" s="12"/>
      <c r="T11" s="9"/>
    </row>
    <row r="12" spans="1:20" ht="14.25" customHeight="1" x14ac:dyDescent="0.35">
      <c r="A12" s="5">
        <v>3</v>
      </c>
      <c r="B12" s="6">
        <v>3</v>
      </c>
      <c r="C12" s="5">
        <v>11</v>
      </c>
      <c r="F12" s="8">
        <f t="shared" si="0"/>
        <v>13123.15</v>
      </c>
      <c r="G12" s="9"/>
      <c r="H12" s="10">
        <f t="shared" si="14"/>
        <v>0.52551697393237595</v>
      </c>
      <c r="I12" s="9">
        <f t="shared" si="3"/>
        <v>6896.4380764606594</v>
      </c>
      <c r="J12" s="9"/>
      <c r="K12" s="9"/>
      <c r="L12" s="9"/>
      <c r="M12" s="9"/>
      <c r="N12" s="9"/>
      <c r="O12" s="9"/>
      <c r="P12" s="11"/>
      <c r="Q12" s="9"/>
      <c r="R12" s="9"/>
      <c r="S12" s="12"/>
      <c r="T12" s="9"/>
    </row>
    <row r="13" spans="1:20" ht="14.25" customHeight="1" x14ac:dyDescent="0.35">
      <c r="A13" s="5">
        <v>3</v>
      </c>
      <c r="B13" s="6">
        <v>4</v>
      </c>
      <c r="C13" s="5">
        <v>12</v>
      </c>
      <c r="F13" s="8">
        <f t="shared" si="0"/>
        <v>13686.4375</v>
      </c>
      <c r="G13" s="9"/>
      <c r="H13" s="10">
        <f t="shared" si="14"/>
        <v>0.86878952876354754</v>
      </c>
      <c r="I13" s="9">
        <f t="shared" si="3"/>
        <v>11890.633586076745</v>
      </c>
      <c r="J13" s="9"/>
      <c r="K13" s="9"/>
      <c r="L13" s="9"/>
      <c r="M13" s="9"/>
      <c r="N13" s="9"/>
      <c r="O13" s="9"/>
      <c r="P13" s="11"/>
      <c r="Q13" s="9"/>
      <c r="R13" s="9"/>
      <c r="S13" s="12"/>
      <c r="T13" s="9"/>
    </row>
    <row r="14" spans="1:20" ht="14.25" customHeight="1" x14ac:dyDescent="0.35">
      <c r="A14" s="5">
        <v>4</v>
      </c>
      <c r="B14" s="6">
        <v>1</v>
      </c>
      <c r="C14" s="5">
        <v>13</v>
      </c>
      <c r="F14" s="8">
        <f t="shared" si="0"/>
        <v>14249.724999999999</v>
      </c>
      <c r="H14" s="10">
        <f t="shared" ref="H14:H17" si="15">(G2+G6)/3</f>
        <v>0.44658902169609949</v>
      </c>
      <c r="I14" s="9">
        <f t="shared" si="3"/>
        <v>6363.7707471884505</v>
      </c>
      <c r="J14" s="9"/>
      <c r="K14" s="9"/>
      <c r="L14" s="9"/>
      <c r="M14" s="9"/>
      <c r="N14" s="9"/>
      <c r="O14" s="9"/>
      <c r="P14" s="11"/>
      <c r="Q14" s="9"/>
      <c r="R14" s="9"/>
    </row>
    <row r="15" spans="1:20" ht="14.25" customHeight="1" x14ac:dyDescent="0.35">
      <c r="A15" s="5">
        <v>4</v>
      </c>
      <c r="B15" s="6">
        <v>2</v>
      </c>
      <c r="C15" s="5">
        <v>14</v>
      </c>
      <c r="F15" s="8">
        <f t="shared" si="0"/>
        <v>14813.012500000001</v>
      </c>
      <c r="H15" s="10">
        <f t="shared" si="15"/>
        <v>0.8373684223261294</v>
      </c>
      <c r="I15" s="9">
        <f t="shared" si="3"/>
        <v>12403.948907022235</v>
      </c>
      <c r="J15" s="9"/>
      <c r="K15" s="9"/>
      <c r="L15" s="9"/>
      <c r="M15" s="9"/>
      <c r="N15" s="9"/>
      <c r="O15" s="9"/>
      <c r="P15" s="11"/>
      <c r="Q15" s="9"/>
      <c r="R15" s="9"/>
    </row>
    <row r="16" spans="1:20" ht="14.25" customHeight="1" x14ac:dyDescent="0.35">
      <c r="A16" s="5">
        <v>4</v>
      </c>
      <c r="B16" s="6">
        <v>3</v>
      </c>
      <c r="C16" s="5">
        <v>15</v>
      </c>
      <c r="F16" s="8">
        <f t="shared" si="0"/>
        <v>15376.3</v>
      </c>
      <c r="H16" s="10">
        <f t="shared" si="15"/>
        <v>0.52551697393237595</v>
      </c>
      <c r="I16" s="9">
        <f t="shared" si="3"/>
        <v>8080.5066462763916</v>
      </c>
      <c r="J16" s="9"/>
      <c r="K16" s="9"/>
      <c r="L16" s="9"/>
      <c r="M16" s="9"/>
      <c r="N16" s="9"/>
      <c r="O16" s="9"/>
      <c r="P16" s="11"/>
      <c r="Q16" s="9"/>
      <c r="R16" s="9"/>
    </row>
    <row r="17" spans="1:18" ht="14.25" customHeight="1" x14ac:dyDescent="0.35">
      <c r="A17" s="5">
        <v>4</v>
      </c>
      <c r="B17" s="6">
        <v>4</v>
      </c>
      <c r="C17" s="5">
        <v>16</v>
      </c>
      <c r="F17" s="8">
        <f t="shared" si="0"/>
        <v>15939.5875</v>
      </c>
      <c r="H17" s="10">
        <f t="shared" si="15"/>
        <v>0.86878952876354754</v>
      </c>
      <c r="I17" s="9">
        <f t="shared" si="3"/>
        <v>13848.146712810332</v>
      </c>
      <c r="J17" s="9"/>
      <c r="K17" s="9"/>
      <c r="L17" s="9"/>
      <c r="M17" s="9"/>
      <c r="N17" s="9"/>
      <c r="O17" s="9"/>
      <c r="P17" s="11"/>
      <c r="Q17" s="9"/>
      <c r="R17" s="9"/>
    </row>
    <row r="18" spans="1:18" ht="14.25" customHeight="1" x14ac:dyDescent="0.35">
      <c r="J18" s="9"/>
      <c r="K18" s="9"/>
      <c r="L18" s="9"/>
      <c r="M18" s="9"/>
      <c r="N18" s="9"/>
      <c r="O18" s="9"/>
      <c r="P18" s="11"/>
      <c r="Q18" s="9"/>
      <c r="R18" s="9"/>
    </row>
    <row r="19" spans="1:18" ht="14.25" customHeight="1" x14ac:dyDescent="0.35">
      <c r="J19" s="9"/>
      <c r="K19" s="9"/>
      <c r="L19" s="9"/>
      <c r="M19" s="9"/>
      <c r="N19" s="9"/>
      <c r="O19" s="9"/>
      <c r="P19" s="11"/>
      <c r="Q19" s="9"/>
      <c r="R19" s="9"/>
    </row>
    <row r="20" spans="1:18" ht="14.25" customHeight="1" x14ac:dyDescent="0.35">
      <c r="J20" s="9"/>
      <c r="K20" s="9"/>
      <c r="L20" s="9"/>
      <c r="M20" s="9"/>
      <c r="N20" s="9"/>
      <c r="O20" s="9"/>
      <c r="P20" s="11"/>
      <c r="Q20" s="9"/>
      <c r="R20" s="9"/>
    </row>
    <row r="21" spans="1:18" ht="14.25" customHeight="1" x14ac:dyDescent="0.35">
      <c r="J21" s="9"/>
      <c r="K21" s="9"/>
      <c r="L21" s="9"/>
      <c r="M21" s="9"/>
      <c r="N21" s="9"/>
      <c r="O21" s="9"/>
      <c r="P21" s="11"/>
      <c r="Q21" s="9"/>
      <c r="R21" s="9"/>
    </row>
    <row r="22" spans="1:18" ht="14.25" customHeight="1" x14ac:dyDescent="0.35">
      <c r="C22" s="5" t="s">
        <v>26</v>
      </c>
      <c r="D22" s="5">
        <f>INTERCEPT($E$4:$E$7,$C$4:$C$7)</f>
        <v>6926.9874999999993</v>
      </c>
      <c r="P22" s="15"/>
    </row>
    <row r="23" spans="1:18" ht="14.25" customHeight="1" x14ac:dyDescent="0.35">
      <c r="C23" s="5" t="s">
        <v>27</v>
      </c>
      <c r="D23" s="17">
        <f>SLOPE($E$4:$E$7,$C$4:$C$7)</f>
        <v>563.28750000000002</v>
      </c>
      <c r="P23" s="15"/>
    </row>
    <row r="24" spans="1:18" ht="14.25" customHeight="1" x14ac:dyDescent="0.35">
      <c r="P24" s="15"/>
    </row>
    <row r="25" spans="1:18" ht="14.25" customHeight="1" x14ac:dyDescent="0.35">
      <c r="P25" s="15"/>
    </row>
    <row r="26" spans="1:18" ht="14.25" customHeight="1" x14ac:dyDescent="0.35">
      <c r="P26" s="15"/>
    </row>
    <row r="27" spans="1:18" ht="14.25" customHeight="1" x14ac:dyDescent="0.35">
      <c r="P27" s="15"/>
    </row>
    <row r="28" spans="1:18" ht="14.25" customHeight="1" x14ac:dyDescent="0.35">
      <c r="P28" s="15"/>
    </row>
    <row r="29" spans="1:18" ht="14.25" customHeight="1" x14ac:dyDescent="0.35">
      <c r="P29" s="15"/>
    </row>
    <row r="30" spans="1:18" ht="14.25" customHeight="1" x14ac:dyDescent="0.35">
      <c r="P30" s="15"/>
    </row>
    <row r="31" spans="1:18" ht="14.25" customHeight="1" x14ac:dyDescent="0.35">
      <c r="P31" s="15"/>
    </row>
    <row r="32" spans="1:18" ht="14.25" customHeight="1" x14ac:dyDescent="0.35">
      <c r="P32" s="15"/>
    </row>
    <row r="33" spans="16:16" ht="14.25" customHeight="1" x14ac:dyDescent="0.35">
      <c r="P33" s="15"/>
    </row>
    <row r="34" spans="16:16" ht="14.25" customHeight="1" x14ac:dyDescent="0.35">
      <c r="P34" s="15"/>
    </row>
    <row r="35" spans="16:16" ht="14.25" customHeight="1" x14ac:dyDescent="0.35">
      <c r="P35" s="15"/>
    </row>
    <row r="36" spans="16:16" ht="14.25" customHeight="1" x14ac:dyDescent="0.35">
      <c r="P36" s="15"/>
    </row>
    <row r="37" spans="16:16" ht="14.25" customHeight="1" x14ac:dyDescent="0.35">
      <c r="P37" s="15"/>
    </row>
    <row r="38" spans="16:16" ht="14.25" customHeight="1" x14ac:dyDescent="0.35">
      <c r="P38" s="15"/>
    </row>
    <row r="39" spans="16:16" ht="14.25" customHeight="1" x14ac:dyDescent="0.35">
      <c r="P39" s="15"/>
    </row>
    <row r="40" spans="16:16" ht="14.25" customHeight="1" x14ac:dyDescent="0.35">
      <c r="P40" s="15"/>
    </row>
    <row r="41" spans="16:16" ht="14.25" customHeight="1" x14ac:dyDescent="0.35">
      <c r="P41" s="15"/>
    </row>
    <row r="42" spans="16:16" ht="14.25" customHeight="1" x14ac:dyDescent="0.35">
      <c r="P42" s="15"/>
    </row>
    <row r="43" spans="16:16" ht="14.25" customHeight="1" x14ac:dyDescent="0.35">
      <c r="P43" s="15"/>
    </row>
    <row r="44" spans="16:16" ht="14.25" customHeight="1" x14ac:dyDescent="0.35">
      <c r="P44" s="15"/>
    </row>
    <row r="45" spans="16:16" ht="14.25" customHeight="1" x14ac:dyDescent="0.35">
      <c r="P45" s="15"/>
    </row>
    <row r="46" spans="16:16" ht="14.25" customHeight="1" x14ac:dyDescent="0.35">
      <c r="P46" s="15"/>
    </row>
    <row r="47" spans="16:16" ht="14.25" customHeight="1" x14ac:dyDescent="0.35">
      <c r="P47" s="15"/>
    </row>
    <row r="48" spans="16:16" ht="14.25" customHeight="1" x14ac:dyDescent="0.35">
      <c r="P48" s="15"/>
    </row>
    <row r="49" spans="16:16" ht="14.25" customHeight="1" x14ac:dyDescent="0.35">
      <c r="P49" s="15"/>
    </row>
    <row r="50" spans="16:16" ht="14.25" customHeight="1" x14ac:dyDescent="0.35">
      <c r="P50" s="15"/>
    </row>
    <row r="51" spans="16:16" ht="14.25" customHeight="1" x14ac:dyDescent="0.35">
      <c r="P51" s="15"/>
    </row>
    <row r="52" spans="16:16" ht="14.25" customHeight="1" x14ac:dyDescent="0.35">
      <c r="P52" s="15"/>
    </row>
    <row r="53" spans="16:16" ht="14.25" customHeight="1" x14ac:dyDescent="0.35">
      <c r="P53" s="15"/>
    </row>
    <row r="54" spans="16:16" ht="14.25" customHeight="1" x14ac:dyDescent="0.35">
      <c r="P54" s="15"/>
    </row>
    <row r="55" spans="16:16" ht="14.25" customHeight="1" x14ac:dyDescent="0.35">
      <c r="P55" s="15"/>
    </row>
    <row r="56" spans="16:16" ht="14.25" customHeight="1" x14ac:dyDescent="0.35">
      <c r="P56" s="15"/>
    </row>
    <row r="57" spans="16:16" ht="14.25" customHeight="1" x14ac:dyDescent="0.35">
      <c r="P57" s="15"/>
    </row>
    <row r="58" spans="16:16" ht="14.25" customHeight="1" x14ac:dyDescent="0.35">
      <c r="P58" s="15"/>
    </row>
    <row r="59" spans="16:16" ht="14.25" customHeight="1" x14ac:dyDescent="0.35">
      <c r="P59" s="15"/>
    </row>
    <row r="60" spans="16:16" ht="14.25" customHeight="1" x14ac:dyDescent="0.35">
      <c r="P60" s="15"/>
    </row>
    <row r="61" spans="16:16" ht="14.25" customHeight="1" x14ac:dyDescent="0.35">
      <c r="P61" s="15"/>
    </row>
    <row r="62" spans="16:16" ht="14.25" customHeight="1" x14ac:dyDescent="0.35">
      <c r="P62" s="15"/>
    </row>
    <row r="63" spans="16:16" ht="14.25" customHeight="1" x14ac:dyDescent="0.35">
      <c r="P63" s="15"/>
    </row>
    <row r="64" spans="16:16" ht="14.25" customHeight="1" x14ac:dyDescent="0.35">
      <c r="P64" s="15"/>
    </row>
    <row r="65" spans="16:16" ht="14.25" customHeight="1" x14ac:dyDescent="0.35">
      <c r="P65" s="15"/>
    </row>
    <row r="66" spans="16:16" ht="14.25" customHeight="1" x14ac:dyDescent="0.35">
      <c r="P66" s="15"/>
    </row>
    <row r="67" spans="16:16" ht="14.25" customHeight="1" x14ac:dyDescent="0.35">
      <c r="P67" s="15"/>
    </row>
    <row r="68" spans="16:16" ht="14.25" customHeight="1" x14ac:dyDescent="0.35">
      <c r="P68" s="15"/>
    </row>
    <row r="69" spans="16:16" ht="14.25" customHeight="1" x14ac:dyDescent="0.35">
      <c r="P69" s="15"/>
    </row>
    <row r="70" spans="16:16" ht="14.25" customHeight="1" x14ac:dyDescent="0.35">
      <c r="P70" s="15"/>
    </row>
    <row r="71" spans="16:16" ht="14.25" customHeight="1" x14ac:dyDescent="0.35">
      <c r="P71" s="15"/>
    </row>
    <row r="72" spans="16:16" ht="14.25" customHeight="1" x14ac:dyDescent="0.35">
      <c r="P72" s="15"/>
    </row>
    <row r="73" spans="16:16" ht="14.25" customHeight="1" x14ac:dyDescent="0.35">
      <c r="P73" s="15"/>
    </row>
    <row r="74" spans="16:16" ht="14.25" customHeight="1" x14ac:dyDescent="0.35">
      <c r="P74" s="15"/>
    </row>
    <row r="75" spans="16:16" ht="14.25" customHeight="1" x14ac:dyDescent="0.35">
      <c r="P75" s="15"/>
    </row>
    <row r="76" spans="16:16" ht="14.25" customHeight="1" x14ac:dyDescent="0.35">
      <c r="P76" s="15"/>
    </row>
    <row r="77" spans="16:16" ht="14.25" customHeight="1" x14ac:dyDescent="0.35">
      <c r="P77" s="15"/>
    </row>
    <row r="78" spans="16:16" ht="14.25" customHeight="1" x14ac:dyDescent="0.35">
      <c r="P78" s="15"/>
    </row>
    <row r="79" spans="16:16" ht="14.25" customHeight="1" x14ac:dyDescent="0.35">
      <c r="P79" s="15"/>
    </row>
    <row r="80" spans="16:16" ht="14.25" customHeight="1" x14ac:dyDescent="0.35">
      <c r="P80" s="15"/>
    </row>
    <row r="81" spans="16:16" ht="14.25" customHeight="1" x14ac:dyDescent="0.35">
      <c r="P81" s="15"/>
    </row>
    <row r="82" spans="16:16" ht="14.25" customHeight="1" x14ac:dyDescent="0.35">
      <c r="P82" s="15"/>
    </row>
    <row r="83" spans="16:16" ht="14.25" customHeight="1" x14ac:dyDescent="0.35">
      <c r="P83" s="15"/>
    </row>
    <row r="84" spans="16:16" ht="14.25" customHeight="1" x14ac:dyDescent="0.35">
      <c r="P84" s="15"/>
    </row>
    <row r="85" spans="16:16" ht="14.25" customHeight="1" x14ac:dyDescent="0.35">
      <c r="P85" s="15"/>
    </row>
    <row r="86" spans="16:16" ht="14.25" customHeight="1" x14ac:dyDescent="0.35">
      <c r="P86" s="15"/>
    </row>
    <row r="87" spans="16:16" ht="14.25" customHeight="1" x14ac:dyDescent="0.35">
      <c r="P87" s="15"/>
    </row>
    <row r="88" spans="16:16" ht="14.25" customHeight="1" x14ac:dyDescent="0.35">
      <c r="P88" s="15"/>
    </row>
    <row r="89" spans="16:16" ht="14.25" customHeight="1" x14ac:dyDescent="0.35">
      <c r="P89" s="15"/>
    </row>
    <row r="90" spans="16:16" ht="14.25" customHeight="1" x14ac:dyDescent="0.35">
      <c r="P90" s="15"/>
    </row>
    <row r="91" spans="16:16" ht="14.25" customHeight="1" x14ac:dyDescent="0.35">
      <c r="P91" s="15"/>
    </row>
    <row r="92" spans="16:16" ht="14.25" customHeight="1" x14ac:dyDescent="0.35">
      <c r="P92" s="15"/>
    </row>
    <row r="93" spans="16:16" ht="14.25" customHeight="1" x14ac:dyDescent="0.35">
      <c r="P93" s="15"/>
    </row>
    <row r="94" spans="16:16" ht="14.25" customHeight="1" x14ac:dyDescent="0.35">
      <c r="P94" s="15"/>
    </row>
    <row r="95" spans="16:16" ht="14.25" customHeight="1" x14ac:dyDescent="0.35">
      <c r="P95" s="15"/>
    </row>
    <row r="96" spans="16:16" ht="14.25" customHeight="1" x14ac:dyDescent="0.35">
      <c r="P96" s="15"/>
    </row>
    <row r="97" spans="16:16" ht="14.25" customHeight="1" x14ac:dyDescent="0.35">
      <c r="P97" s="15"/>
    </row>
    <row r="98" spans="16:16" ht="14.25" customHeight="1" x14ac:dyDescent="0.35">
      <c r="P98" s="15"/>
    </row>
    <row r="99" spans="16:16" ht="14.25" customHeight="1" x14ac:dyDescent="0.35">
      <c r="P99" s="15"/>
    </row>
    <row r="100" spans="16:16" ht="14.25" customHeight="1" x14ac:dyDescent="0.35">
      <c r="P100" s="15"/>
    </row>
    <row r="101" spans="16:16" ht="14.25" customHeight="1" x14ac:dyDescent="0.35">
      <c r="P101" s="15"/>
    </row>
    <row r="102" spans="16:16" ht="14.25" customHeight="1" x14ac:dyDescent="0.35">
      <c r="P102" s="15"/>
    </row>
    <row r="103" spans="16:16" ht="14.25" customHeight="1" x14ac:dyDescent="0.35">
      <c r="P103" s="15"/>
    </row>
    <row r="104" spans="16:16" ht="14.25" customHeight="1" x14ac:dyDescent="0.35">
      <c r="P104" s="15"/>
    </row>
    <row r="105" spans="16:16" ht="14.25" customHeight="1" x14ac:dyDescent="0.35">
      <c r="P105" s="15"/>
    </row>
    <row r="106" spans="16:16" ht="14.25" customHeight="1" x14ac:dyDescent="0.35">
      <c r="P106" s="15"/>
    </row>
    <row r="107" spans="16:16" ht="14.25" customHeight="1" x14ac:dyDescent="0.35">
      <c r="P107" s="15"/>
    </row>
    <row r="108" spans="16:16" ht="14.25" customHeight="1" x14ac:dyDescent="0.35">
      <c r="P108" s="15"/>
    </row>
    <row r="109" spans="16:16" ht="14.25" customHeight="1" x14ac:dyDescent="0.35">
      <c r="P109" s="15"/>
    </row>
    <row r="110" spans="16:16" ht="14.25" customHeight="1" x14ac:dyDescent="0.35">
      <c r="P110" s="15"/>
    </row>
    <row r="111" spans="16:16" ht="14.25" customHeight="1" x14ac:dyDescent="0.35">
      <c r="P111" s="15"/>
    </row>
    <row r="112" spans="16:16" ht="14.25" customHeight="1" x14ac:dyDescent="0.35">
      <c r="P112" s="15"/>
    </row>
    <row r="113" spans="16:16" ht="14.25" customHeight="1" x14ac:dyDescent="0.35">
      <c r="P113" s="15"/>
    </row>
    <row r="114" spans="16:16" ht="14.25" customHeight="1" x14ac:dyDescent="0.35">
      <c r="P114" s="15"/>
    </row>
    <row r="115" spans="16:16" ht="14.25" customHeight="1" x14ac:dyDescent="0.35">
      <c r="P115" s="15"/>
    </row>
    <row r="116" spans="16:16" ht="14.25" customHeight="1" x14ac:dyDescent="0.35">
      <c r="P116" s="15"/>
    </row>
    <row r="117" spans="16:16" ht="14.25" customHeight="1" x14ac:dyDescent="0.35">
      <c r="P117" s="15"/>
    </row>
    <row r="118" spans="16:16" ht="14.25" customHeight="1" x14ac:dyDescent="0.35">
      <c r="P118" s="15"/>
    </row>
    <row r="119" spans="16:16" ht="14.25" customHeight="1" x14ac:dyDescent="0.35">
      <c r="P119" s="15"/>
    </row>
    <row r="120" spans="16:16" ht="14.25" customHeight="1" x14ac:dyDescent="0.35">
      <c r="P120" s="15"/>
    </row>
    <row r="121" spans="16:16" ht="14.25" customHeight="1" x14ac:dyDescent="0.35">
      <c r="P121" s="15"/>
    </row>
    <row r="122" spans="16:16" ht="14.25" customHeight="1" x14ac:dyDescent="0.35">
      <c r="P122" s="15"/>
    </row>
    <row r="123" spans="16:16" ht="14.25" customHeight="1" x14ac:dyDescent="0.35">
      <c r="P123" s="15"/>
    </row>
    <row r="124" spans="16:16" ht="14.25" customHeight="1" x14ac:dyDescent="0.35">
      <c r="P124" s="15"/>
    </row>
    <row r="125" spans="16:16" ht="14.25" customHeight="1" x14ac:dyDescent="0.35">
      <c r="P125" s="15"/>
    </row>
    <row r="126" spans="16:16" ht="14.25" customHeight="1" x14ac:dyDescent="0.35">
      <c r="P126" s="15"/>
    </row>
    <row r="127" spans="16:16" ht="14.25" customHeight="1" x14ac:dyDescent="0.35">
      <c r="P127" s="15"/>
    </row>
    <row r="128" spans="16:16" ht="14.25" customHeight="1" x14ac:dyDescent="0.35">
      <c r="P128" s="15"/>
    </row>
    <row r="129" spans="16:16" ht="14.25" customHeight="1" x14ac:dyDescent="0.35">
      <c r="P129" s="15"/>
    </row>
    <row r="130" spans="16:16" ht="14.25" customHeight="1" x14ac:dyDescent="0.35">
      <c r="P130" s="15"/>
    </row>
    <row r="131" spans="16:16" ht="14.25" customHeight="1" x14ac:dyDescent="0.35">
      <c r="P131" s="15"/>
    </row>
    <row r="132" spans="16:16" ht="14.25" customHeight="1" x14ac:dyDescent="0.35">
      <c r="P132" s="15"/>
    </row>
    <row r="133" spans="16:16" ht="14.25" customHeight="1" x14ac:dyDescent="0.35">
      <c r="P133" s="15"/>
    </row>
    <row r="134" spans="16:16" ht="14.25" customHeight="1" x14ac:dyDescent="0.35">
      <c r="P134" s="15"/>
    </row>
    <row r="135" spans="16:16" ht="14.25" customHeight="1" x14ac:dyDescent="0.35">
      <c r="P135" s="15"/>
    </row>
    <row r="136" spans="16:16" ht="14.25" customHeight="1" x14ac:dyDescent="0.35">
      <c r="P136" s="15"/>
    </row>
    <row r="137" spans="16:16" ht="14.25" customHeight="1" x14ac:dyDescent="0.35">
      <c r="P137" s="15"/>
    </row>
    <row r="138" spans="16:16" ht="14.25" customHeight="1" x14ac:dyDescent="0.35">
      <c r="P138" s="15"/>
    </row>
    <row r="139" spans="16:16" ht="14.25" customHeight="1" x14ac:dyDescent="0.35">
      <c r="P139" s="15"/>
    </row>
    <row r="140" spans="16:16" ht="14.25" customHeight="1" x14ac:dyDescent="0.35">
      <c r="P140" s="15"/>
    </row>
    <row r="141" spans="16:16" ht="14.25" customHeight="1" x14ac:dyDescent="0.35">
      <c r="P141" s="15"/>
    </row>
    <row r="142" spans="16:16" ht="14.25" customHeight="1" x14ac:dyDescent="0.35">
      <c r="P142" s="15"/>
    </row>
    <row r="143" spans="16:16" ht="14.25" customHeight="1" x14ac:dyDescent="0.35">
      <c r="P143" s="15"/>
    </row>
    <row r="144" spans="16:16" ht="14.25" customHeight="1" x14ac:dyDescent="0.35">
      <c r="P144" s="15"/>
    </row>
    <row r="145" spans="16:16" ht="14.25" customHeight="1" x14ac:dyDescent="0.35">
      <c r="P145" s="15"/>
    </row>
    <row r="146" spans="16:16" ht="14.25" customHeight="1" x14ac:dyDescent="0.35">
      <c r="P146" s="15"/>
    </row>
    <row r="147" spans="16:16" ht="14.25" customHeight="1" x14ac:dyDescent="0.35">
      <c r="P147" s="15"/>
    </row>
    <row r="148" spans="16:16" ht="14.25" customHeight="1" x14ac:dyDescent="0.35">
      <c r="P148" s="15"/>
    </row>
    <row r="149" spans="16:16" ht="14.25" customHeight="1" x14ac:dyDescent="0.35">
      <c r="P149" s="15"/>
    </row>
    <row r="150" spans="16:16" ht="14.25" customHeight="1" x14ac:dyDescent="0.35">
      <c r="P150" s="15"/>
    </row>
    <row r="151" spans="16:16" ht="14.25" customHeight="1" x14ac:dyDescent="0.35">
      <c r="P151" s="15"/>
    </row>
    <row r="152" spans="16:16" ht="14.25" customHeight="1" x14ac:dyDescent="0.35">
      <c r="P152" s="15"/>
    </row>
    <row r="153" spans="16:16" ht="14.25" customHeight="1" x14ac:dyDescent="0.35">
      <c r="P153" s="15"/>
    </row>
    <row r="154" spans="16:16" ht="14.25" customHeight="1" x14ac:dyDescent="0.35">
      <c r="P154" s="15"/>
    </row>
    <row r="155" spans="16:16" ht="14.25" customHeight="1" x14ac:dyDescent="0.35">
      <c r="P155" s="15"/>
    </row>
    <row r="156" spans="16:16" ht="14.25" customHeight="1" x14ac:dyDescent="0.35">
      <c r="P156" s="15"/>
    </row>
    <row r="157" spans="16:16" ht="14.25" customHeight="1" x14ac:dyDescent="0.35">
      <c r="P157" s="15"/>
    </row>
    <row r="158" spans="16:16" ht="14.25" customHeight="1" x14ac:dyDescent="0.35">
      <c r="P158" s="15"/>
    </row>
    <row r="159" spans="16:16" ht="14.25" customHeight="1" x14ac:dyDescent="0.35">
      <c r="P159" s="15"/>
    </row>
    <row r="160" spans="16:16" ht="14.25" customHeight="1" x14ac:dyDescent="0.35">
      <c r="P160" s="15"/>
    </row>
    <row r="161" spans="16:16" ht="14.25" customHeight="1" x14ac:dyDescent="0.35">
      <c r="P161" s="15"/>
    </row>
    <row r="162" spans="16:16" ht="14.25" customHeight="1" x14ac:dyDescent="0.35">
      <c r="P162" s="15"/>
    </row>
    <row r="163" spans="16:16" ht="14.25" customHeight="1" x14ac:dyDescent="0.35">
      <c r="P163" s="15"/>
    </row>
    <row r="164" spans="16:16" ht="14.25" customHeight="1" x14ac:dyDescent="0.35">
      <c r="P164" s="15"/>
    </row>
    <row r="165" spans="16:16" ht="14.25" customHeight="1" x14ac:dyDescent="0.35">
      <c r="P165" s="15"/>
    </row>
    <row r="166" spans="16:16" ht="14.25" customHeight="1" x14ac:dyDescent="0.35">
      <c r="P166" s="15"/>
    </row>
    <row r="167" spans="16:16" ht="14.25" customHeight="1" x14ac:dyDescent="0.35">
      <c r="P167" s="15"/>
    </row>
    <row r="168" spans="16:16" ht="14.25" customHeight="1" x14ac:dyDescent="0.35">
      <c r="P168" s="15"/>
    </row>
    <row r="169" spans="16:16" ht="14.25" customHeight="1" x14ac:dyDescent="0.35">
      <c r="P169" s="15"/>
    </row>
    <row r="170" spans="16:16" ht="14.25" customHeight="1" x14ac:dyDescent="0.35">
      <c r="P170" s="15"/>
    </row>
    <row r="171" spans="16:16" ht="14.25" customHeight="1" x14ac:dyDescent="0.35">
      <c r="P171" s="15"/>
    </row>
    <row r="172" spans="16:16" ht="14.25" customHeight="1" x14ac:dyDescent="0.35">
      <c r="P172" s="15"/>
    </row>
    <row r="173" spans="16:16" ht="14.25" customHeight="1" x14ac:dyDescent="0.35">
      <c r="P173" s="15"/>
    </row>
    <row r="174" spans="16:16" ht="14.25" customHeight="1" x14ac:dyDescent="0.35">
      <c r="P174" s="15"/>
    </row>
    <row r="175" spans="16:16" ht="14.25" customHeight="1" x14ac:dyDescent="0.35">
      <c r="P175" s="15"/>
    </row>
    <row r="176" spans="16:16" ht="14.25" customHeight="1" x14ac:dyDescent="0.35">
      <c r="P176" s="15"/>
    </row>
    <row r="177" spans="16:16" ht="14.25" customHeight="1" x14ac:dyDescent="0.35">
      <c r="P177" s="15"/>
    </row>
    <row r="178" spans="16:16" ht="14.25" customHeight="1" x14ac:dyDescent="0.35">
      <c r="P178" s="15"/>
    </row>
    <row r="179" spans="16:16" ht="14.25" customHeight="1" x14ac:dyDescent="0.35">
      <c r="P179" s="15"/>
    </row>
    <row r="180" spans="16:16" ht="14.25" customHeight="1" x14ac:dyDescent="0.35">
      <c r="P180" s="15"/>
    </row>
    <row r="181" spans="16:16" ht="14.25" customHeight="1" x14ac:dyDescent="0.35">
      <c r="P181" s="15"/>
    </row>
    <row r="182" spans="16:16" ht="14.25" customHeight="1" x14ac:dyDescent="0.35">
      <c r="P182" s="15"/>
    </row>
    <row r="183" spans="16:16" ht="14.25" customHeight="1" x14ac:dyDescent="0.35">
      <c r="P183" s="15"/>
    </row>
    <row r="184" spans="16:16" ht="14.25" customHeight="1" x14ac:dyDescent="0.35">
      <c r="P184" s="15"/>
    </row>
    <row r="185" spans="16:16" ht="14.25" customHeight="1" x14ac:dyDescent="0.35">
      <c r="P185" s="15"/>
    </row>
    <row r="186" spans="16:16" ht="14.25" customHeight="1" x14ac:dyDescent="0.35">
      <c r="P186" s="15"/>
    </row>
    <row r="187" spans="16:16" ht="14.25" customHeight="1" x14ac:dyDescent="0.35">
      <c r="P187" s="15"/>
    </row>
    <row r="188" spans="16:16" ht="14.25" customHeight="1" x14ac:dyDescent="0.35">
      <c r="P188" s="15"/>
    </row>
    <row r="189" spans="16:16" ht="14.25" customHeight="1" x14ac:dyDescent="0.35">
      <c r="P189" s="15"/>
    </row>
    <row r="190" spans="16:16" ht="14.25" customHeight="1" x14ac:dyDescent="0.35">
      <c r="P190" s="15"/>
    </row>
    <row r="191" spans="16:16" ht="14.25" customHeight="1" x14ac:dyDescent="0.35">
      <c r="P191" s="15"/>
    </row>
    <row r="192" spans="16:16" ht="14.25" customHeight="1" x14ac:dyDescent="0.35">
      <c r="P192" s="15"/>
    </row>
    <row r="193" spans="16:16" ht="14.25" customHeight="1" x14ac:dyDescent="0.35">
      <c r="P193" s="15"/>
    </row>
    <row r="194" spans="16:16" ht="14.25" customHeight="1" x14ac:dyDescent="0.35">
      <c r="P194" s="15"/>
    </row>
    <row r="195" spans="16:16" ht="14.25" customHeight="1" x14ac:dyDescent="0.35">
      <c r="P195" s="15"/>
    </row>
    <row r="196" spans="16:16" ht="14.25" customHeight="1" x14ac:dyDescent="0.35">
      <c r="P196" s="15"/>
    </row>
    <row r="197" spans="16:16" ht="14.25" customHeight="1" x14ac:dyDescent="0.35">
      <c r="P197" s="15"/>
    </row>
    <row r="198" spans="16:16" ht="14.25" customHeight="1" x14ac:dyDescent="0.35">
      <c r="P198" s="15"/>
    </row>
    <row r="199" spans="16:16" ht="14.25" customHeight="1" x14ac:dyDescent="0.35">
      <c r="P199" s="15"/>
    </row>
    <row r="200" spans="16:16" ht="14.25" customHeight="1" x14ac:dyDescent="0.35">
      <c r="P200" s="15"/>
    </row>
    <row r="201" spans="16:16" ht="14.25" customHeight="1" x14ac:dyDescent="0.35">
      <c r="P201" s="15"/>
    </row>
    <row r="202" spans="16:16" ht="14.25" customHeight="1" x14ac:dyDescent="0.35">
      <c r="P202" s="15"/>
    </row>
    <row r="203" spans="16:16" ht="14.25" customHeight="1" x14ac:dyDescent="0.35">
      <c r="P203" s="15"/>
    </row>
    <row r="204" spans="16:16" ht="14.25" customHeight="1" x14ac:dyDescent="0.35">
      <c r="P204" s="15"/>
    </row>
    <row r="205" spans="16:16" ht="14.25" customHeight="1" x14ac:dyDescent="0.35">
      <c r="P205" s="15"/>
    </row>
    <row r="206" spans="16:16" ht="14.25" customHeight="1" x14ac:dyDescent="0.35">
      <c r="P206" s="15"/>
    </row>
    <row r="207" spans="16:16" ht="14.25" customHeight="1" x14ac:dyDescent="0.35">
      <c r="P207" s="15"/>
    </row>
    <row r="208" spans="16:16" ht="14.25" customHeight="1" x14ac:dyDescent="0.35">
      <c r="P208" s="15"/>
    </row>
    <row r="209" spans="16:16" ht="14.25" customHeight="1" x14ac:dyDescent="0.35">
      <c r="P209" s="15"/>
    </row>
    <row r="210" spans="16:16" ht="14.25" customHeight="1" x14ac:dyDescent="0.35">
      <c r="P210" s="15"/>
    </row>
    <row r="211" spans="16:16" ht="14.25" customHeight="1" x14ac:dyDescent="0.35">
      <c r="P211" s="15"/>
    </row>
    <row r="212" spans="16:16" ht="14.25" customHeight="1" x14ac:dyDescent="0.35">
      <c r="P212" s="15"/>
    </row>
    <row r="213" spans="16:16" ht="14.25" customHeight="1" x14ac:dyDescent="0.35">
      <c r="P213" s="15"/>
    </row>
    <row r="214" spans="16:16" ht="14.25" customHeight="1" x14ac:dyDescent="0.35">
      <c r="P214" s="15"/>
    </row>
    <row r="215" spans="16:16" ht="14.25" customHeight="1" x14ac:dyDescent="0.35">
      <c r="P215" s="15"/>
    </row>
    <row r="216" spans="16:16" ht="14.25" customHeight="1" x14ac:dyDescent="0.35">
      <c r="P216" s="15"/>
    </row>
    <row r="217" spans="16:16" ht="14.25" customHeight="1" x14ac:dyDescent="0.35">
      <c r="P217" s="15"/>
    </row>
    <row r="218" spans="16:16" ht="14.25" customHeight="1" x14ac:dyDescent="0.35">
      <c r="P218" s="15"/>
    </row>
    <row r="219" spans="16:16" ht="14.25" customHeight="1" x14ac:dyDescent="0.35">
      <c r="P219" s="15"/>
    </row>
    <row r="220" spans="16:16" ht="14.25" customHeight="1" x14ac:dyDescent="0.35">
      <c r="P220" s="15"/>
    </row>
    <row r="221" spans="16:16" ht="14.25" customHeight="1" x14ac:dyDescent="0.35">
      <c r="P221" s="15"/>
    </row>
    <row r="222" spans="16:16" ht="14.25" customHeight="1" x14ac:dyDescent="0.35">
      <c r="P222" s="15"/>
    </row>
    <row r="223" spans="16:16" ht="14.25" customHeight="1" x14ac:dyDescent="0.35">
      <c r="P223" s="15"/>
    </row>
    <row r="224" spans="16:16" ht="15.75" customHeight="1" x14ac:dyDescent="0.35">
      <c r="P224" s="15"/>
    </row>
    <row r="225" spans="16:16" ht="15.75" customHeight="1" x14ac:dyDescent="0.35">
      <c r="P225" s="15"/>
    </row>
    <row r="226" spans="16:16" ht="15.75" customHeight="1" x14ac:dyDescent="0.35">
      <c r="P226" s="15"/>
    </row>
    <row r="227" spans="16:16" ht="15.75" customHeight="1" x14ac:dyDescent="0.35">
      <c r="P227" s="15"/>
    </row>
    <row r="228" spans="16:16" ht="15.75" customHeight="1" x14ac:dyDescent="0.35">
      <c r="P228" s="15"/>
    </row>
    <row r="229" spans="16:16" ht="15.75" customHeight="1" x14ac:dyDescent="0.35">
      <c r="P229" s="15"/>
    </row>
    <row r="230" spans="16:16" ht="15.75" customHeight="1" x14ac:dyDescent="0.35">
      <c r="P230" s="15"/>
    </row>
    <row r="231" spans="16:16" ht="15.75" customHeight="1" x14ac:dyDescent="0.35">
      <c r="P231" s="15"/>
    </row>
    <row r="232" spans="16:16" ht="15.75" customHeight="1" x14ac:dyDescent="0.35">
      <c r="P232" s="15"/>
    </row>
    <row r="233" spans="16:16" ht="15.75" customHeight="1" x14ac:dyDescent="0.35">
      <c r="P233" s="15"/>
    </row>
    <row r="234" spans="16:16" ht="15.75" customHeight="1" x14ac:dyDescent="0.35">
      <c r="P234" s="15"/>
    </row>
    <row r="235" spans="16:16" ht="15.75" customHeight="1" x14ac:dyDescent="0.35">
      <c r="P235" s="15"/>
    </row>
    <row r="236" spans="16:16" ht="15.75" customHeight="1" x14ac:dyDescent="0.35">
      <c r="P236" s="15"/>
    </row>
    <row r="237" spans="16:16" ht="15.75" customHeight="1" x14ac:dyDescent="0.35">
      <c r="P237" s="15"/>
    </row>
    <row r="238" spans="16:16" ht="15.75" customHeight="1" x14ac:dyDescent="0.35">
      <c r="P238" s="15"/>
    </row>
    <row r="239" spans="16:16" ht="15.75" customHeight="1" x14ac:dyDescent="0.35">
      <c r="P239" s="15"/>
    </row>
    <row r="240" spans="16:16" ht="15.75" customHeight="1" x14ac:dyDescent="0.35">
      <c r="P240" s="15"/>
    </row>
    <row r="241" spans="16:16" ht="15.75" customHeight="1" x14ac:dyDescent="0.35">
      <c r="P241" s="15"/>
    </row>
    <row r="242" spans="16:16" ht="15.75" customHeight="1" x14ac:dyDescent="0.35">
      <c r="P242" s="15"/>
    </row>
    <row r="243" spans="16:16" ht="15.75" customHeight="1" x14ac:dyDescent="0.35">
      <c r="P243" s="15"/>
    </row>
    <row r="244" spans="16:16" ht="15.75" customHeight="1" x14ac:dyDescent="0.35">
      <c r="P244" s="15"/>
    </row>
    <row r="245" spans="16:16" ht="15.75" customHeight="1" x14ac:dyDescent="0.35">
      <c r="P245" s="15"/>
    </row>
    <row r="246" spans="16:16" ht="15.75" customHeight="1" x14ac:dyDescent="0.35">
      <c r="P246" s="15"/>
    </row>
    <row r="247" spans="16:16" ht="15.75" customHeight="1" x14ac:dyDescent="0.35">
      <c r="P247" s="15"/>
    </row>
    <row r="248" spans="16:16" ht="15.75" customHeight="1" x14ac:dyDescent="0.35">
      <c r="P248" s="15"/>
    </row>
    <row r="249" spans="16:16" ht="15.75" customHeight="1" x14ac:dyDescent="0.35">
      <c r="P249" s="15"/>
    </row>
    <row r="250" spans="16:16" ht="15.75" customHeight="1" x14ac:dyDescent="0.35">
      <c r="P250" s="15"/>
    </row>
    <row r="251" spans="16:16" ht="15.75" customHeight="1" x14ac:dyDescent="0.35">
      <c r="P251" s="15"/>
    </row>
    <row r="252" spans="16:16" ht="15.75" customHeight="1" x14ac:dyDescent="0.35">
      <c r="P252" s="15"/>
    </row>
    <row r="253" spans="16:16" ht="15.75" customHeight="1" x14ac:dyDescent="0.35">
      <c r="P253" s="15"/>
    </row>
    <row r="254" spans="16:16" ht="15.75" customHeight="1" x14ac:dyDescent="0.35">
      <c r="P254" s="15"/>
    </row>
    <row r="255" spans="16:16" ht="15.75" customHeight="1" x14ac:dyDescent="0.35">
      <c r="P255" s="15"/>
    </row>
    <row r="256" spans="16:16" ht="15.75" customHeight="1" x14ac:dyDescent="0.35">
      <c r="P256" s="15"/>
    </row>
    <row r="257" spans="16:16" ht="15.75" customHeight="1" x14ac:dyDescent="0.35">
      <c r="P257" s="15"/>
    </row>
    <row r="258" spans="16:16" ht="15.75" customHeight="1" x14ac:dyDescent="0.35">
      <c r="P258" s="15"/>
    </row>
    <row r="259" spans="16:16" ht="15.75" customHeight="1" x14ac:dyDescent="0.35">
      <c r="P259" s="15"/>
    </row>
    <row r="260" spans="16:16" ht="15.75" customHeight="1" x14ac:dyDescent="0.35">
      <c r="P260" s="15"/>
    </row>
    <row r="261" spans="16:16" ht="15.75" customHeight="1" x14ac:dyDescent="0.35">
      <c r="P261" s="15"/>
    </row>
    <row r="262" spans="16:16" ht="15.75" customHeight="1" x14ac:dyDescent="0.35">
      <c r="P262" s="15"/>
    </row>
    <row r="263" spans="16:16" ht="15.75" customHeight="1" x14ac:dyDescent="0.35">
      <c r="P263" s="15"/>
    </row>
    <row r="264" spans="16:16" ht="15.75" customHeight="1" x14ac:dyDescent="0.35">
      <c r="P264" s="15"/>
    </row>
    <row r="265" spans="16:16" ht="15.75" customHeight="1" x14ac:dyDescent="0.35">
      <c r="P265" s="15"/>
    </row>
    <row r="266" spans="16:16" ht="15.75" customHeight="1" x14ac:dyDescent="0.35">
      <c r="P266" s="15"/>
    </row>
    <row r="267" spans="16:16" ht="15.75" customHeight="1" x14ac:dyDescent="0.35">
      <c r="P267" s="15"/>
    </row>
    <row r="268" spans="16:16" ht="15.75" customHeight="1" x14ac:dyDescent="0.35">
      <c r="P268" s="15"/>
    </row>
    <row r="269" spans="16:16" ht="15.75" customHeight="1" x14ac:dyDescent="0.35">
      <c r="P269" s="15"/>
    </row>
    <row r="270" spans="16:16" ht="15.75" customHeight="1" x14ac:dyDescent="0.35">
      <c r="P270" s="15"/>
    </row>
    <row r="271" spans="16:16" ht="15.75" customHeight="1" x14ac:dyDescent="0.35">
      <c r="P271" s="15"/>
    </row>
    <row r="272" spans="16:16" ht="15.75" customHeight="1" x14ac:dyDescent="0.35">
      <c r="P272" s="15"/>
    </row>
    <row r="273" spans="16:16" ht="15.75" customHeight="1" x14ac:dyDescent="0.35">
      <c r="P273" s="15"/>
    </row>
    <row r="274" spans="16:16" ht="15.75" customHeight="1" x14ac:dyDescent="0.35">
      <c r="P274" s="15"/>
    </row>
    <row r="275" spans="16:16" ht="15.75" customHeight="1" x14ac:dyDescent="0.35">
      <c r="P275" s="15"/>
    </row>
    <row r="276" spans="16:16" ht="15.75" customHeight="1" x14ac:dyDescent="0.35">
      <c r="P276" s="15"/>
    </row>
    <row r="277" spans="16:16" ht="15.75" customHeight="1" x14ac:dyDescent="0.35">
      <c r="P277" s="15"/>
    </row>
    <row r="278" spans="16:16" ht="15.75" customHeight="1" x14ac:dyDescent="0.35">
      <c r="P278" s="15"/>
    </row>
    <row r="279" spans="16:16" ht="15.75" customHeight="1" x14ac:dyDescent="0.35">
      <c r="P279" s="15"/>
    </row>
    <row r="280" spans="16:16" ht="15.75" customHeight="1" x14ac:dyDescent="0.35">
      <c r="P280" s="15"/>
    </row>
    <row r="281" spans="16:16" ht="15.75" customHeight="1" x14ac:dyDescent="0.35">
      <c r="P281" s="15"/>
    </row>
    <row r="282" spans="16:16" ht="15.75" customHeight="1" x14ac:dyDescent="0.35">
      <c r="P282" s="15"/>
    </row>
    <row r="283" spans="16:16" ht="15.75" customHeight="1" x14ac:dyDescent="0.35">
      <c r="P283" s="15"/>
    </row>
    <row r="284" spans="16:16" ht="15.75" customHeight="1" x14ac:dyDescent="0.35">
      <c r="P284" s="15"/>
    </row>
    <row r="285" spans="16:16" ht="15.75" customHeight="1" x14ac:dyDescent="0.35">
      <c r="P285" s="15"/>
    </row>
    <row r="286" spans="16:16" ht="15.75" customHeight="1" x14ac:dyDescent="0.35">
      <c r="P286" s="15"/>
    </row>
    <row r="287" spans="16:16" ht="15.75" customHeight="1" x14ac:dyDescent="0.35">
      <c r="P287" s="15"/>
    </row>
    <row r="288" spans="16:16" ht="15.75" customHeight="1" x14ac:dyDescent="0.35">
      <c r="P288" s="15"/>
    </row>
    <row r="289" spans="16:16" ht="15.75" customHeight="1" x14ac:dyDescent="0.35">
      <c r="P289" s="15"/>
    </row>
    <row r="290" spans="16:16" ht="15.75" customHeight="1" x14ac:dyDescent="0.35">
      <c r="P290" s="15"/>
    </row>
    <row r="291" spans="16:16" ht="15.75" customHeight="1" x14ac:dyDescent="0.35">
      <c r="P291" s="15"/>
    </row>
    <row r="292" spans="16:16" ht="15.75" customHeight="1" x14ac:dyDescent="0.35">
      <c r="P292" s="15"/>
    </row>
    <row r="293" spans="16:16" ht="15.75" customHeight="1" x14ac:dyDescent="0.35">
      <c r="P293" s="15"/>
    </row>
    <row r="294" spans="16:16" ht="15.75" customHeight="1" x14ac:dyDescent="0.35">
      <c r="P294" s="15"/>
    </row>
    <row r="295" spans="16:16" ht="15.75" customHeight="1" x14ac:dyDescent="0.35">
      <c r="P295" s="15"/>
    </row>
    <row r="296" spans="16:16" ht="15.75" customHeight="1" x14ac:dyDescent="0.35">
      <c r="P296" s="15"/>
    </row>
    <row r="297" spans="16:16" ht="15.75" customHeight="1" x14ac:dyDescent="0.35">
      <c r="P297" s="15"/>
    </row>
    <row r="298" spans="16:16" ht="15.75" customHeight="1" x14ac:dyDescent="0.35">
      <c r="P298" s="15"/>
    </row>
    <row r="299" spans="16:16" ht="15.75" customHeight="1" x14ac:dyDescent="0.35">
      <c r="P299" s="15"/>
    </row>
    <row r="300" spans="16:16" ht="15.75" customHeight="1" x14ac:dyDescent="0.35">
      <c r="P300" s="15"/>
    </row>
    <row r="301" spans="16:16" ht="15.75" customHeight="1" x14ac:dyDescent="0.35">
      <c r="P301" s="15"/>
    </row>
    <row r="302" spans="16:16" ht="15.75" customHeight="1" x14ac:dyDescent="0.35">
      <c r="P302" s="15"/>
    </row>
    <row r="303" spans="16:16" ht="15.75" customHeight="1" x14ac:dyDescent="0.35">
      <c r="P303" s="15"/>
    </row>
    <row r="304" spans="16:16" ht="15.75" customHeight="1" x14ac:dyDescent="0.35">
      <c r="P304" s="15"/>
    </row>
    <row r="305" spans="16:16" ht="15.75" customHeight="1" x14ac:dyDescent="0.35">
      <c r="P305" s="15"/>
    </row>
    <row r="306" spans="16:16" ht="15.75" customHeight="1" x14ac:dyDescent="0.35">
      <c r="P306" s="15"/>
    </row>
    <row r="307" spans="16:16" ht="15.75" customHeight="1" x14ac:dyDescent="0.35">
      <c r="P307" s="15"/>
    </row>
    <row r="308" spans="16:16" ht="15.75" customHeight="1" x14ac:dyDescent="0.35">
      <c r="P308" s="15"/>
    </row>
    <row r="309" spans="16:16" ht="15.75" customHeight="1" x14ac:dyDescent="0.35">
      <c r="P309" s="15"/>
    </row>
    <row r="310" spans="16:16" ht="15.75" customHeight="1" x14ac:dyDescent="0.35">
      <c r="P310" s="15"/>
    </row>
    <row r="311" spans="16:16" ht="15.75" customHeight="1" x14ac:dyDescent="0.35">
      <c r="P311" s="15"/>
    </row>
    <row r="312" spans="16:16" ht="15.75" customHeight="1" x14ac:dyDescent="0.35">
      <c r="P312" s="15"/>
    </row>
    <row r="313" spans="16:16" ht="15.75" customHeight="1" x14ac:dyDescent="0.35">
      <c r="P313" s="15"/>
    </row>
    <row r="314" spans="16:16" ht="15.75" customHeight="1" x14ac:dyDescent="0.35">
      <c r="P314" s="15"/>
    </row>
    <row r="315" spans="16:16" ht="15.75" customHeight="1" x14ac:dyDescent="0.35">
      <c r="P315" s="15"/>
    </row>
    <row r="316" spans="16:16" ht="15.75" customHeight="1" x14ac:dyDescent="0.35">
      <c r="P316" s="15"/>
    </row>
    <row r="317" spans="16:16" ht="15.75" customHeight="1" x14ac:dyDescent="0.35">
      <c r="P317" s="15"/>
    </row>
    <row r="318" spans="16:16" ht="15.75" customHeight="1" x14ac:dyDescent="0.35">
      <c r="P318" s="15"/>
    </row>
    <row r="319" spans="16:16" ht="15.75" customHeight="1" x14ac:dyDescent="0.35">
      <c r="P319" s="15"/>
    </row>
    <row r="320" spans="16:16" ht="15.75" customHeight="1" x14ac:dyDescent="0.35">
      <c r="P320" s="15"/>
    </row>
    <row r="321" spans="16:16" ht="15.75" customHeight="1" x14ac:dyDescent="0.35">
      <c r="P321" s="15"/>
    </row>
    <row r="322" spans="16:16" ht="15.75" customHeight="1" x14ac:dyDescent="0.35">
      <c r="P322" s="15"/>
    </row>
    <row r="323" spans="16:16" ht="15.75" customHeight="1" x14ac:dyDescent="0.35">
      <c r="P323" s="15"/>
    </row>
    <row r="324" spans="16:16" ht="15.75" customHeight="1" x14ac:dyDescent="0.35">
      <c r="P324" s="15"/>
    </row>
    <row r="325" spans="16:16" ht="15.75" customHeight="1" x14ac:dyDescent="0.35">
      <c r="P325" s="15"/>
    </row>
    <row r="326" spans="16:16" ht="15.75" customHeight="1" x14ac:dyDescent="0.35">
      <c r="P326" s="15"/>
    </row>
    <row r="327" spans="16:16" ht="15.75" customHeight="1" x14ac:dyDescent="0.35">
      <c r="P327" s="15"/>
    </row>
    <row r="328" spans="16:16" ht="15.75" customHeight="1" x14ac:dyDescent="0.35">
      <c r="P328" s="15"/>
    </row>
    <row r="329" spans="16:16" ht="15.75" customHeight="1" x14ac:dyDescent="0.35">
      <c r="P329" s="15"/>
    </row>
    <row r="330" spans="16:16" ht="15.75" customHeight="1" x14ac:dyDescent="0.35">
      <c r="P330" s="15"/>
    </row>
    <row r="331" spans="16:16" ht="15.75" customHeight="1" x14ac:dyDescent="0.35">
      <c r="P331" s="15"/>
    </row>
    <row r="332" spans="16:16" ht="15.75" customHeight="1" x14ac:dyDescent="0.35">
      <c r="P332" s="15"/>
    </row>
    <row r="333" spans="16:16" ht="15.75" customHeight="1" x14ac:dyDescent="0.35">
      <c r="P333" s="15"/>
    </row>
    <row r="334" spans="16:16" ht="15.75" customHeight="1" x14ac:dyDescent="0.35">
      <c r="P334" s="15"/>
    </row>
    <row r="335" spans="16:16" ht="15.75" customHeight="1" x14ac:dyDescent="0.35">
      <c r="P335" s="15"/>
    </row>
    <row r="336" spans="16:16" ht="15.75" customHeight="1" x14ac:dyDescent="0.35">
      <c r="P336" s="15"/>
    </row>
    <row r="337" spans="16:16" ht="15.75" customHeight="1" x14ac:dyDescent="0.35">
      <c r="P337" s="15"/>
    </row>
    <row r="338" spans="16:16" ht="15.75" customHeight="1" x14ac:dyDescent="0.35">
      <c r="P338" s="15"/>
    </row>
    <row r="339" spans="16:16" ht="15.75" customHeight="1" x14ac:dyDescent="0.35">
      <c r="P339" s="15"/>
    </row>
    <row r="340" spans="16:16" ht="15.75" customHeight="1" x14ac:dyDescent="0.35">
      <c r="P340" s="15"/>
    </row>
    <row r="341" spans="16:16" ht="15.75" customHeight="1" x14ac:dyDescent="0.35">
      <c r="P341" s="15"/>
    </row>
    <row r="342" spans="16:16" ht="15.75" customHeight="1" x14ac:dyDescent="0.35">
      <c r="P342" s="15"/>
    </row>
    <row r="343" spans="16:16" ht="15.75" customHeight="1" x14ac:dyDescent="0.35">
      <c r="P343" s="15"/>
    </row>
    <row r="344" spans="16:16" ht="15.75" customHeight="1" x14ac:dyDescent="0.35">
      <c r="P344" s="15"/>
    </row>
    <row r="345" spans="16:16" ht="15.75" customHeight="1" x14ac:dyDescent="0.35">
      <c r="P345" s="15"/>
    </row>
    <row r="346" spans="16:16" ht="15.75" customHeight="1" x14ac:dyDescent="0.35">
      <c r="P346" s="15"/>
    </row>
    <row r="347" spans="16:16" ht="15.75" customHeight="1" x14ac:dyDescent="0.35">
      <c r="P347" s="15"/>
    </row>
    <row r="348" spans="16:16" ht="15.75" customHeight="1" x14ac:dyDescent="0.35">
      <c r="P348" s="15"/>
    </row>
    <row r="349" spans="16:16" ht="15.75" customHeight="1" x14ac:dyDescent="0.35">
      <c r="P349" s="15"/>
    </row>
    <row r="350" spans="16:16" ht="15.75" customHeight="1" x14ac:dyDescent="0.35">
      <c r="P350" s="15"/>
    </row>
    <row r="351" spans="16:16" ht="15.75" customHeight="1" x14ac:dyDescent="0.35">
      <c r="P351" s="15"/>
    </row>
    <row r="352" spans="16:16" ht="15.75" customHeight="1" x14ac:dyDescent="0.35">
      <c r="P352" s="15"/>
    </row>
    <row r="353" spans="16:16" ht="15.75" customHeight="1" x14ac:dyDescent="0.35">
      <c r="P353" s="15"/>
    </row>
    <row r="354" spans="16:16" ht="15.75" customHeight="1" x14ac:dyDescent="0.35">
      <c r="P354" s="15"/>
    </row>
    <row r="355" spans="16:16" ht="15.75" customHeight="1" x14ac:dyDescent="0.35">
      <c r="P355" s="15"/>
    </row>
    <row r="356" spans="16:16" ht="15.75" customHeight="1" x14ac:dyDescent="0.35">
      <c r="P356" s="15"/>
    </row>
    <row r="357" spans="16:16" ht="15.75" customHeight="1" x14ac:dyDescent="0.35">
      <c r="P357" s="15"/>
    </row>
    <row r="358" spans="16:16" ht="15.75" customHeight="1" x14ac:dyDescent="0.35">
      <c r="P358" s="15"/>
    </row>
    <row r="359" spans="16:16" ht="15.75" customHeight="1" x14ac:dyDescent="0.35">
      <c r="P359" s="15"/>
    </row>
    <row r="360" spans="16:16" ht="15.75" customHeight="1" x14ac:dyDescent="0.35">
      <c r="P360" s="15"/>
    </row>
    <row r="361" spans="16:16" ht="15.75" customHeight="1" x14ac:dyDescent="0.35">
      <c r="P361" s="15"/>
    </row>
    <row r="362" spans="16:16" ht="15.75" customHeight="1" x14ac:dyDescent="0.35">
      <c r="P362" s="15"/>
    </row>
    <row r="363" spans="16:16" ht="15.75" customHeight="1" x14ac:dyDescent="0.35">
      <c r="P363" s="15"/>
    </row>
    <row r="364" spans="16:16" ht="15.75" customHeight="1" x14ac:dyDescent="0.35">
      <c r="P364" s="15"/>
    </row>
    <row r="365" spans="16:16" ht="15.75" customHeight="1" x14ac:dyDescent="0.35">
      <c r="P365" s="15"/>
    </row>
    <row r="366" spans="16:16" ht="15.75" customHeight="1" x14ac:dyDescent="0.35">
      <c r="P366" s="15"/>
    </row>
    <row r="367" spans="16:16" ht="15.75" customHeight="1" x14ac:dyDescent="0.35">
      <c r="P367" s="15"/>
    </row>
    <row r="368" spans="16:16" ht="15.75" customHeight="1" x14ac:dyDescent="0.35">
      <c r="P368" s="15"/>
    </row>
    <row r="369" spans="16:16" ht="15.75" customHeight="1" x14ac:dyDescent="0.35">
      <c r="P369" s="15"/>
    </row>
    <row r="370" spans="16:16" ht="15.75" customHeight="1" x14ac:dyDescent="0.35">
      <c r="P370" s="15"/>
    </row>
    <row r="371" spans="16:16" ht="15.75" customHeight="1" x14ac:dyDescent="0.35">
      <c r="P371" s="15"/>
    </row>
    <row r="372" spans="16:16" ht="15.75" customHeight="1" x14ac:dyDescent="0.35">
      <c r="P372" s="15"/>
    </row>
    <row r="373" spans="16:16" ht="15.75" customHeight="1" x14ac:dyDescent="0.35">
      <c r="P373" s="15"/>
    </row>
    <row r="374" spans="16:16" ht="15.75" customHeight="1" x14ac:dyDescent="0.35">
      <c r="P374" s="15"/>
    </row>
    <row r="375" spans="16:16" ht="15.75" customHeight="1" x14ac:dyDescent="0.35">
      <c r="P375" s="15"/>
    </row>
    <row r="376" spans="16:16" ht="15.75" customHeight="1" x14ac:dyDescent="0.35">
      <c r="P376" s="15"/>
    </row>
    <row r="377" spans="16:16" ht="15.75" customHeight="1" x14ac:dyDescent="0.35">
      <c r="P377" s="15"/>
    </row>
    <row r="378" spans="16:16" ht="15.75" customHeight="1" x14ac:dyDescent="0.35">
      <c r="P378" s="15"/>
    </row>
    <row r="379" spans="16:16" ht="15.75" customHeight="1" x14ac:dyDescent="0.35">
      <c r="P379" s="15"/>
    </row>
    <row r="380" spans="16:16" ht="15.75" customHeight="1" x14ac:dyDescent="0.35">
      <c r="P380" s="15"/>
    </row>
    <row r="381" spans="16:16" ht="15.75" customHeight="1" x14ac:dyDescent="0.35">
      <c r="P381" s="15"/>
    </row>
    <row r="382" spans="16:16" ht="15.75" customHeight="1" x14ac:dyDescent="0.35">
      <c r="P382" s="15"/>
    </row>
    <row r="383" spans="16:16" ht="15.75" customHeight="1" x14ac:dyDescent="0.35">
      <c r="P383" s="15"/>
    </row>
    <row r="384" spans="16:16" ht="15.75" customHeight="1" x14ac:dyDescent="0.35">
      <c r="P384" s="15"/>
    </row>
    <row r="385" spans="16:16" ht="15.75" customHeight="1" x14ac:dyDescent="0.35">
      <c r="P385" s="15"/>
    </row>
    <row r="386" spans="16:16" ht="15.75" customHeight="1" x14ac:dyDescent="0.35">
      <c r="P386" s="15"/>
    </row>
    <row r="387" spans="16:16" ht="15.75" customHeight="1" x14ac:dyDescent="0.35">
      <c r="P387" s="15"/>
    </row>
    <row r="388" spans="16:16" ht="15.75" customHeight="1" x14ac:dyDescent="0.35">
      <c r="P388" s="15"/>
    </row>
    <row r="389" spans="16:16" ht="15.75" customHeight="1" x14ac:dyDescent="0.35">
      <c r="P389" s="15"/>
    </row>
    <row r="390" spans="16:16" ht="15.75" customHeight="1" x14ac:dyDescent="0.35">
      <c r="P390" s="15"/>
    </row>
    <row r="391" spans="16:16" ht="15.75" customHeight="1" x14ac:dyDescent="0.35">
      <c r="P391" s="15"/>
    </row>
    <row r="392" spans="16:16" ht="15.75" customHeight="1" x14ac:dyDescent="0.35">
      <c r="P392" s="15"/>
    </row>
    <row r="393" spans="16:16" ht="15.75" customHeight="1" x14ac:dyDescent="0.35">
      <c r="P393" s="15"/>
    </row>
    <row r="394" spans="16:16" ht="15.75" customHeight="1" x14ac:dyDescent="0.35">
      <c r="P394" s="15"/>
    </row>
    <row r="395" spans="16:16" ht="15.75" customHeight="1" x14ac:dyDescent="0.35">
      <c r="P395" s="15"/>
    </row>
    <row r="396" spans="16:16" ht="15.75" customHeight="1" x14ac:dyDescent="0.35">
      <c r="P396" s="15"/>
    </row>
    <row r="397" spans="16:16" ht="15.75" customHeight="1" x14ac:dyDescent="0.35">
      <c r="P397" s="15"/>
    </row>
    <row r="398" spans="16:16" ht="15.75" customHeight="1" x14ac:dyDescent="0.35">
      <c r="P398" s="15"/>
    </row>
    <row r="399" spans="16:16" ht="15.75" customHeight="1" x14ac:dyDescent="0.35">
      <c r="P399" s="15"/>
    </row>
    <row r="400" spans="16:16" ht="15.75" customHeight="1" x14ac:dyDescent="0.35">
      <c r="P400" s="15"/>
    </row>
    <row r="401" spans="16:16" ht="15.75" customHeight="1" x14ac:dyDescent="0.35">
      <c r="P401" s="15"/>
    </row>
    <row r="402" spans="16:16" ht="15.75" customHeight="1" x14ac:dyDescent="0.35">
      <c r="P402" s="15"/>
    </row>
    <row r="403" spans="16:16" ht="15.75" customHeight="1" x14ac:dyDescent="0.35">
      <c r="P403" s="15"/>
    </row>
    <row r="404" spans="16:16" ht="15.75" customHeight="1" x14ac:dyDescent="0.35">
      <c r="P404" s="15"/>
    </row>
    <row r="405" spans="16:16" ht="15.75" customHeight="1" x14ac:dyDescent="0.35">
      <c r="P405" s="15"/>
    </row>
    <row r="406" spans="16:16" ht="15.75" customHeight="1" x14ac:dyDescent="0.35">
      <c r="P406" s="15"/>
    </row>
    <row r="407" spans="16:16" ht="15.75" customHeight="1" x14ac:dyDescent="0.35">
      <c r="P407" s="15"/>
    </row>
    <row r="408" spans="16:16" ht="15.75" customHeight="1" x14ac:dyDescent="0.35">
      <c r="P408" s="15"/>
    </row>
    <row r="409" spans="16:16" ht="15.75" customHeight="1" x14ac:dyDescent="0.35">
      <c r="P409" s="15"/>
    </row>
    <row r="410" spans="16:16" ht="15.75" customHeight="1" x14ac:dyDescent="0.35">
      <c r="P410" s="15"/>
    </row>
    <row r="411" spans="16:16" ht="15.75" customHeight="1" x14ac:dyDescent="0.35">
      <c r="P411" s="15"/>
    </row>
    <row r="412" spans="16:16" ht="15.75" customHeight="1" x14ac:dyDescent="0.35">
      <c r="P412" s="15"/>
    </row>
    <row r="413" spans="16:16" ht="15.75" customHeight="1" x14ac:dyDescent="0.35">
      <c r="P413" s="15"/>
    </row>
    <row r="414" spans="16:16" ht="15.75" customHeight="1" x14ac:dyDescent="0.35">
      <c r="P414" s="15"/>
    </row>
    <row r="415" spans="16:16" ht="15.75" customHeight="1" x14ac:dyDescent="0.35">
      <c r="P415" s="15"/>
    </row>
    <row r="416" spans="16:16" ht="15.75" customHeight="1" x14ac:dyDescent="0.35">
      <c r="P416" s="15"/>
    </row>
    <row r="417" spans="16:16" ht="15.75" customHeight="1" x14ac:dyDescent="0.35">
      <c r="P417" s="15"/>
    </row>
    <row r="418" spans="16:16" ht="15.75" customHeight="1" x14ac:dyDescent="0.35">
      <c r="P418" s="15"/>
    </row>
    <row r="419" spans="16:16" ht="15.75" customHeight="1" x14ac:dyDescent="0.35">
      <c r="P419" s="15"/>
    </row>
    <row r="420" spans="16:16" ht="15.75" customHeight="1" x14ac:dyDescent="0.35">
      <c r="P420" s="15"/>
    </row>
    <row r="421" spans="16:16" ht="15.75" customHeight="1" x14ac:dyDescent="0.35">
      <c r="P421" s="15"/>
    </row>
    <row r="422" spans="16:16" ht="15.75" customHeight="1" x14ac:dyDescent="0.35">
      <c r="P422" s="15"/>
    </row>
    <row r="423" spans="16:16" ht="15.75" customHeight="1" x14ac:dyDescent="0.35">
      <c r="P423" s="15"/>
    </row>
    <row r="424" spans="16:16" ht="15.75" customHeight="1" x14ac:dyDescent="0.35">
      <c r="P424" s="15"/>
    </row>
    <row r="425" spans="16:16" ht="15.75" customHeight="1" x14ac:dyDescent="0.35">
      <c r="P425" s="15"/>
    </row>
    <row r="426" spans="16:16" ht="15.75" customHeight="1" x14ac:dyDescent="0.35">
      <c r="P426" s="15"/>
    </row>
    <row r="427" spans="16:16" ht="15.75" customHeight="1" x14ac:dyDescent="0.35">
      <c r="P427" s="15"/>
    </row>
    <row r="428" spans="16:16" ht="15.75" customHeight="1" x14ac:dyDescent="0.35">
      <c r="P428" s="15"/>
    </row>
    <row r="429" spans="16:16" ht="15.75" customHeight="1" x14ac:dyDescent="0.35">
      <c r="P429" s="15"/>
    </row>
    <row r="430" spans="16:16" ht="15.75" customHeight="1" x14ac:dyDescent="0.35">
      <c r="P430" s="15"/>
    </row>
    <row r="431" spans="16:16" ht="15.75" customHeight="1" x14ac:dyDescent="0.35">
      <c r="P431" s="15"/>
    </row>
    <row r="432" spans="16:16" ht="15.75" customHeight="1" x14ac:dyDescent="0.35">
      <c r="P432" s="15"/>
    </row>
    <row r="433" spans="16:16" ht="15.75" customHeight="1" x14ac:dyDescent="0.35">
      <c r="P433" s="15"/>
    </row>
    <row r="434" spans="16:16" ht="15.75" customHeight="1" x14ac:dyDescent="0.35">
      <c r="P434" s="15"/>
    </row>
    <row r="435" spans="16:16" ht="15.75" customHeight="1" x14ac:dyDescent="0.35">
      <c r="P435" s="15"/>
    </row>
    <row r="436" spans="16:16" ht="15.75" customHeight="1" x14ac:dyDescent="0.35">
      <c r="P436" s="15"/>
    </row>
    <row r="437" spans="16:16" ht="15.75" customHeight="1" x14ac:dyDescent="0.35">
      <c r="P437" s="15"/>
    </row>
    <row r="438" spans="16:16" ht="15.75" customHeight="1" x14ac:dyDescent="0.35">
      <c r="P438" s="15"/>
    </row>
    <row r="439" spans="16:16" ht="15.75" customHeight="1" x14ac:dyDescent="0.35">
      <c r="P439" s="15"/>
    </row>
    <row r="440" spans="16:16" ht="15.75" customHeight="1" x14ac:dyDescent="0.35">
      <c r="P440" s="15"/>
    </row>
    <row r="441" spans="16:16" ht="15.75" customHeight="1" x14ac:dyDescent="0.35">
      <c r="P441" s="15"/>
    </row>
    <row r="442" spans="16:16" ht="15.75" customHeight="1" x14ac:dyDescent="0.35">
      <c r="P442" s="15"/>
    </row>
    <row r="443" spans="16:16" ht="15.75" customHeight="1" x14ac:dyDescent="0.35">
      <c r="P443" s="15"/>
    </row>
    <row r="444" spans="16:16" ht="15.75" customHeight="1" x14ac:dyDescent="0.35">
      <c r="P444" s="15"/>
    </row>
    <row r="445" spans="16:16" ht="15.75" customHeight="1" x14ac:dyDescent="0.35">
      <c r="P445" s="15"/>
    </row>
    <row r="446" spans="16:16" ht="15.75" customHeight="1" x14ac:dyDescent="0.35">
      <c r="P446" s="15"/>
    </row>
    <row r="447" spans="16:16" ht="15.75" customHeight="1" x14ac:dyDescent="0.35">
      <c r="P447" s="15"/>
    </row>
    <row r="448" spans="16:16" ht="15.75" customHeight="1" x14ac:dyDescent="0.35">
      <c r="P448" s="15"/>
    </row>
    <row r="449" spans="16:16" ht="15.75" customHeight="1" x14ac:dyDescent="0.35">
      <c r="P449" s="15"/>
    </row>
    <row r="450" spans="16:16" ht="15.75" customHeight="1" x14ac:dyDescent="0.35">
      <c r="P450" s="15"/>
    </row>
    <row r="451" spans="16:16" ht="15.75" customHeight="1" x14ac:dyDescent="0.35">
      <c r="P451" s="15"/>
    </row>
    <row r="452" spans="16:16" ht="15.75" customHeight="1" x14ac:dyDescent="0.35">
      <c r="P452" s="15"/>
    </row>
    <row r="453" spans="16:16" ht="15.75" customHeight="1" x14ac:dyDescent="0.35">
      <c r="P453" s="15"/>
    </row>
    <row r="454" spans="16:16" ht="15.75" customHeight="1" x14ac:dyDescent="0.35">
      <c r="P454" s="15"/>
    </row>
    <row r="455" spans="16:16" ht="15.75" customHeight="1" x14ac:dyDescent="0.35">
      <c r="P455" s="15"/>
    </row>
    <row r="456" spans="16:16" ht="15.75" customHeight="1" x14ac:dyDescent="0.35">
      <c r="P456" s="15"/>
    </row>
    <row r="457" spans="16:16" ht="15.75" customHeight="1" x14ac:dyDescent="0.35">
      <c r="P457" s="15"/>
    </row>
    <row r="458" spans="16:16" ht="15.75" customHeight="1" x14ac:dyDescent="0.35">
      <c r="P458" s="15"/>
    </row>
    <row r="459" spans="16:16" ht="15.75" customHeight="1" x14ac:dyDescent="0.35">
      <c r="P459" s="15"/>
    </row>
    <row r="460" spans="16:16" ht="15.75" customHeight="1" x14ac:dyDescent="0.35">
      <c r="P460" s="15"/>
    </row>
    <row r="461" spans="16:16" ht="15.75" customHeight="1" x14ac:dyDescent="0.35">
      <c r="P461" s="15"/>
    </row>
    <row r="462" spans="16:16" ht="15.75" customHeight="1" x14ac:dyDescent="0.35">
      <c r="P462" s="15"/>
    </row>
    <row r="463" spans="16:16" ht="15.75" customHeight="1" x14ac:dyDescent="0.35">
      <c r="P463" s="15"/>
    </row>
    <row r="464" spans="16:16" ht="15.75" customHeight="1" x14ac:dyDescent="0.35">
      <c r="P464" s="15"/>
    </row>
    <row r="465" spans="16:16" ht="15.75" customHeight="1" x14ac:dyDescent="0.35">
      <c r="P465" s="15"/>
    </row>
    <row r="466" spans="16:16" ht="15.75" customHeight="1" x14ac:dyDescent="0.35">
      <c r="P466" s="15"/>
    </row>
    <row r="467" spans="16:16" ht="15.75" customHeight="1" x14ac:dyDescent="0.35">
      <c r="P467" s="15"/>
    </row>
    <row r="468" spans="16:16" ht="15.75" customHeight="1" x14ac:dyDescent="0.35">
      <c r="P468" s="15"/>
    </row>
    <row r="469" spans="16:16" ht="15.75" customHeight="1" x14ac:dyDescent="0.35">
      <c r="P469" s="15"/>
    </row>
    <row r="470" spans="16:16" ht="15.75" customHeight="1" x14ac:dyDescent="0.35">
      <c r="P470" s="15"/>
    </row>
    <row r="471" spans="16:16" ht="15.75" customHeight="1" x14ac:dyDescent="0.35">
      <c r="P471" s="15"/>
    </row>
    <row r="472" spans="16:16" ht="15.75" customHeight="1" x14ac:dyDescent="0.35">
      <c r="P472" s="15"/>
    </row>
    <row r="473" spans="16:16" ht="15.75" customHeight="1" x14ac:dyDescent="0.35">
      <c r="P473" s="15"/>
    </row>
    <row r="474" spans="16:16" ht="15.75" customHeight="1" x14ac:dyDescent="0.35">
      <c r="P474" s="15"/>
    </row>
    <row r="475" spans="16:16" ht="15.75" customHeight="1" x14ac:dyDescent="0.35">
      <c r="P475" s="15"/>
    </row>
    <row r="476" spans="16:16" ht="15.75" customHeight="1" x14ac:dyDescent="0.35">
      <c r="P476" s="15"/>
    </row>
    <row r="477" spans="16:16" ht="15.75" customHeight="1" x14ac:dyDescent="0.35">
      <c r="P477" s="15"/>
    </row>
    <row r="478" spans="16:16" ht="15.75" customHeight="1" x14ac:dyDescent="0.35">
      <c r="P478" s="15"/>
    </row>
    <row r="479" spans="16:16" ht="15.75" customHeight="1" x14ac:dyDescent="0.35">
      <c r="P479" s="15"/>
    </row>
    <row r="480" spans="16:16" ht="15.75" customHeight="1" x14ac:dyDescent="0.35">
      <c r="P480" s="15"/>
    </row>
    <row r="481" spans="16:16" ht="15.75" customHeight="1" x14ac:dyDescent="0.35">
      <c r="P481" s="15"/>
    </row>
    <row r="482" spans="16:16" ht="15.75" customHeight="1" x14ac:dyDescent="0.35">
      <c r="P482" s="15"/>
    </row>
    <row r="483" spans="16:16" ht="15.75" customHeight="1" x14ac:dyDescent="0.35">
      <c r="P483" s="15"/>
    </row>
    <row r="484" spans="16:16" ht="15.75" customHeight="1" x14ac:dyDescent="0.35">
      <c r="P484" s="15"/>
    </row>
    <row r="485" spans="16:16" ht="15.75" customHeight="1" x14ac:dyDescent="0.35">
      <c r="P485" s="15"/>
    </row>
    <row r="486" spans="16:16" ht="15.75" customHeight="1" x14ac:dyDescent="0.35">
      <c r="P486" s="15"/>
    </row>
    <row r="487" spans="16:16" ht="15.75" customHeight="1" x14ac:dyDescent="0.35">
      <c r="P487" s="15"/>
    </row>
    <row r="488" spans="16:16" ht="15.75" customHeight="1" x14ac:dyDescent="0.35">
      <c r="P488" s="15"/>
    </row>
    <row r="489" spans="16:16" ht="15.75" customHeight="1" x14ac:dyDescent="0.35">
      <c r="P489" s="15"/>
    </row>
    <row r="490" spans="16:16" ht="15.75" customHeight="1" x14ac:dyDescent="0.35">
      <c r="P490" s="15"/>
    </row>
    <row r="491" spans="16:16" ht="15.75" customHeight="1" x14ac:dyDescent="0.35">
      <c r="P491" s="15"/>
    </row>
    <row r="492" spans="16:16" ht="15.75" customHeight="1" x14ac:dyDescent="0.35">
      <c r="P492" s="15"/>
    </row>
    <row r="493" spans="16:16" ht="15.75" customHeight="1" x14ac:dyDescent="0.35">
      <c r="P493" s="15"/>
    </row>
    <row r="494" spans="16:16" ht="15.75" customHeight="1" x14ac:dyDescent="0.35">
      <c r="P494" s="15"/>
    </row>
    <row r="495" spans="16:16" ht="15.75" customHeight="1" x14ac:dyDescent="0.35">
      <c r="P495" s="15"/>
    </row>
    <row r="496" spans="16:16" ht="15.75" customHeight="1" x14ac:dyDescent="0.35">
      <c r="P496" s="15"/>
    </row>
    <row r="497" spans="16:16" ht="15.75" customHeight="1" x14ac:dyDescent="0.35">
      <c r="P497" s="15"/>
    </row>
    <row r="498" spans="16:16" ht="15.75" customHeight="1" x14ac:dyDescent="0.35">
      <c r="P498" s="15"/>
    </row>
    <row r="499" spans="16:16" ht="15.75" customHeight="1" x14ac:dyDescent="0.35">
      <c r="P499" s="15"/>
    </row>
    <row r="500" spans="16:16" ht="15.75" customHeight="1" x14ac:dyDescent="0.35">
      <c r="P500" s="15"/>
    </row>
    <row r="501" spans="16:16" ht="15.75" customHeight="1" x14ac:dyDescent="0.35">
      <c r="P501" s="15"/>
    </row>
    <row r="502" spans="16:16" ht="15.75" customHeight="1" x14ac:dyDescent="0.35">
      <c r="P502" s="15"/>
    </row>
    <row r="503" spans="16:16" ht="15.75" customHeight="1" x14ac:dyDescent="0.35">
      <c r="P503" s="15"/>
    </row>
    <row r="504" spans="16:16" ht="15.75" customHeight="1" x14ac:dyDescent="0.35">
      <c r="P504" s="15"/>
    </row>
    <row r="505" spans="16:16" ht="15.75" customHeight="1" x14ac:dyDescent="0.35">
      <c r="P505" s="15"/>
    </row>
    <row r="506" spans="16:16" ht="15.75" customHeight="1" x14ac:dyDescent="0.35">
      <c r="P506" s="15"/>
    </row>
    <row r="507" spans="16:16" ht="15.75" customHeight="1" x14ac:dyDescent="0.35">
      <c r="P507" s="15"/>
    </row>
    <row r="508" spans="16:16" ht="15.75" customHeight="1" x14ac:dyDescent="0.35">
      <c r="P508" s="15"/>
    </row>
    <row r="509" spans="16:16" ht="15.75" customHeight="1" x14ac:dyDescent="0.35">
      <c r="P509" s="15"/>
    </row>
    <row r="510" spans="16:16" ht="15.75" customHeight="1" x14ac:dyDescent="0.35">
      <c r="P510" s="15"/>
    </row>
    <row r="511" spans="16:16" ht="15.75" customHeight="1" x14ac:dyDescent="0.35">
      <c r="P511" s="15"/>
    </row>
    <row r="512" spans="16:16" ht="15.75" customHeight="1" x14ac:dyDescent="0.35">
      <c r="P512" s="15"/>
    </row>
    <row r="513" spans="16:16" ht="15.75" customHeight="1" x14ac:dyDescent="0.35">
      <c r="P513" s="15"/>
    </row>
    <row r="514" spans="16:16" ht="15.75" customHeight="1" x14ac:dyDescent="0.35">
      <c r="P514" s="15"/>
    </row>
    <row r="515" spans="16:16" ht="15.75" customHeight="1" x14ac:dyDescent="0.35">
      <c r="P515" s="15"/>
    </row>
    <row r="516" spans="16:16" ht="15.75" customHeight="1" x14ac:dyDescent="0.35">
      <c r="P516" s="15"/>
    </row>
    <row r="517" spans="16:16" ht="15.75" customHeight="1" x14ac:dyDescent="0.35">
      <c r="P517" s="15"/>
    </row>
    <row r="518" spans="16:16" ht="15.75" customHeight="1" x14ac:dyDescent="0.35">
      <c r="P518" s="15"/>
    </row>
    <row r="519" spans="16:16" ht="15.75" customHeight="1" x14ac:dyDescent="0.35">
      <c r="P519" s="15"/>
    </row>
    <row r="520" spans="16:16" ht="15.75" customHeight="1" x14ac:dyDescent="0.35">
      <c r="P520" s="15"/>
    </row>
    <row r="521" spans="16:16" ht="15.75" customHeight="1" x14ac:dyDescent="0.35">
      <c r="P521" s="15"/>
    </row>
    <row r="522" spans="16:16" ht="15.75" customHeight="1" x14ac:dyDescent="0.35">
      <c r="P522" s="15"/>
    </row>
    <row r="523" spans="16:16" ht="15.75" customHeight="1" x14ac:dyDescent="0.35">
      <c r="P523" s="15"/>
    </row>
    <row r="524" spans="16:16" ht="15.75" customHeight="1" x14ac:dyDescent="0.35">
      <c r="P524" s="15"/>
    </row>
    <row r="525" spans="16:16" ht="15.75" customHeight="1" x14ac:dyDescent="0.35">
      <c r="P525" s="15"/>
    </row>
    <row r="526" spans="16:16" ht="15.75" customHeight="1" x14ac:dyDescent="0.35">
      <c r="P526" s="15"/>
    </row>
    <row r="527" spans="16:16" ht="15.75" customHeight="1" x14ac:dyDescent="0.35">
      <c r="P527" s="15"/>
    </row>
    <row r="528" spans="16:16" ht="15.75" customHeight="1" x14ac:dyDescent="0.35">
      <c r="P528" s="15"/>
    </row>
    <row r="529" spans="16:16" ht="15.75" customHeight="1" x14ac:dyDescent="0.35">
      <c r="P529" s="15"/>
    </row>
    <row r="530" spans="16:16" ht="15.75" customHeight="1" x14ac:dyDescent="0.35">
      <c r="P530" s="15"/>
    </row>
    <row r="531" spans="16:16" ht="15.75" customHeight="1" x14ac:dyDescent="0.35">
      <c r="P531" s="15"/>
    </row>
    <row r="532" spans="16:16" ht="15.75" customHeight="1" x14ac:dyDescent="0.35">
      <c r="P532" s="15"/>
    </row>
    <row r="533" spans="16:16" ht="15.75" customHeight="1" x14ac:dyDescent="0.35">
      <c r="P533" s="15"/>
    </row>
    <row r="534" spans="16:16" ht="15.75" customHeight="1" x14ac:dyDescent="0.35">
      <c r="P534" s="15"/>
    </row>
    <row r="535" spans="16:16" ht="15.75" customHeight="1" x14ac:dyDescent="0.35">
      <c r="P535" s="15"/>
    </row>
    <row r="536" spans="16:16" ht="15.75" customHeight="1" x14ac:dyDescent="0.35">
      <c r="P536" s="15"/>
    </row>
    <row r="537" spans="16:16" ht="15.75" customHeight="1" x14ac:dyDescent="0.35">
      <c r="P537" s="15"/>
    </row>
    <row r="538" spans="16:16" ht="15.75" customHeight="1" x14ac:dyDescent="0.35">
      <c r="P538" s="15"/>
    </row>
    <row r="539" spans="16:16" ht="15.75" customHeight="1" x14ac:dyDescent="0.35">
      <c r="P539" s="15"/>
    </row>
    <row r="540" spans="16:16" ht="15.75" customHeight="1" x14ac:dyDescent="0.35">
      <c r="P540" s="15"/>
    </row>
    <row r="541" spans="16:16" ht="15.75" customHeight="1" x14ac:dyDescent="0.35">
      <c r="P541" s="15"/>
    </row>
    <row r="542" spans="16:16" ht="15.75" customHeight="1" x14ac:dyDescent="0.35">
      <c r="P542" s="15"/>
    </row>
    <row r="543" spans="16:16" ht="15.75" customHeight="1" x14ac:dyDescent="0.35">
      <c r="P543" s="15"/>
    </row>
    <row r="544" spans="16:16" ht="15.75" customHeight="1" x14ac:dyDescent="0.35">
      <c r="P544" s="15"/>
    </row>
    <row r="545" spans="16:16" ht="15.75" customHeight="1" x14ac:dyDescent="0.35">
      <c r="P545" s="15"/>
    </row>
    <row r="546" spans="16:16" ht="15.75" customHeight="1" x14ac:dyDescent="0.35">
      <c r="P546" s="15"/>
    </row>
    <row r="547" spans="16:16" ht="15.75" customHeight="1" x14ac:dyDescent="0.35">
      <c r="P547" s="15"/>
    </row>
    <row r="548" spans="16:16" ht="15.75" customHeight="1" x14ac:dyDescent="0.35">
      <c r="P548" s="15"/>
    </row>
    <row r="549" spans="16:16" ht="15.75" customHeight="1" x14ac:dyDescent="0.35">
      <c r="P549" s="15"/>
    </row>
    <row r="550" spans="16:16" ht="15.75" customHeight="1" x14ac:dyDescent="0.35">
      <c r="P550" s="15"/>
    </row>
    <row r="551" spans="16:16" ht="15.75" customHeight="1" x14ac:dyDescent="0.35">
      <c r="P551" s="15"/>
    </row>
    <row r="552" spans="16:16" ht="15.75" customHeight="1" x14ac:dyDescent="0.35">
      <c r="P552" s="15"/>
    </row>
    <row r="553" spans="16:16" ht="15.75" customHeight="1" x14ac:dyDescent="0.35">
      <c r="P553" s="15"/>
    </row>
    <row r="554" spans="16:16" ht="15.75" customHeight="1" x14ac:dyDescent="0.35">
      <c r="P554" s="15"/>
    </row>
    <row r="555" spans="16:16" ht="15.75" customHeight="1" x14ac:dyDescent="0.35">
      <c r="P555" s="15"/>
    </row>
    <row r="556" spans="16:16" ht="15.75" customHeight="1" x14ac:dyDescent="0.35">
      <c r="P556" s="15"/>
    </row>
    <row r="557" spans="16:16" ht="15.75" customHeight="1" x14ac:dyDescent="0.35">
      <c r="P557" s="15"/>
    </row>
    <row r="558" spans="16:16" ht="15.75" customHeight="1" x14ac:dyDescent="0.35">
      <c r="P558" s="15"/>
    </row>
    <row r="559" spans="16:16" ht="15.75" customHeight="1" x14ac:dyDescent="0.35">
      <c r="P559" s="15"/>
    </row>
    <row r="560" spans="16:16" ht="15.75" customHeight="1" x14ac:dyDescent="0.35">
      <c r="P560" s="15"/>
    </row>
    <row r="561" spans="16:16" ht="15.75" customHeight="1" x14ac:dyDescent="0.35">
      <c r="P561" s="15"/>
    </row>
    <row r="562" spans="16:16" ht="15.75" customHeight="1" x14ac:dyDescent="0.35">
      <c r="P562" s="15"/>
    </row>
    <row r="563" spans="16:16" ht="15.75" customHeight="1" x14ac:dyDescent="0.35">
      <c r="P563" s="15"/>
    </row>
    <row r="564" spans="16:16" ht="15.75" customHeight="1" x14ac:dyDescent="0.35">
      <c r="P564" s="15"/>
    </row>
    <row r="565" spans="16:16" ht="15.75" customHeight="1" x14ac:dyDescent="0.35">
      <c r="P565" s="15"/>
    </row>
    <row r="566" spans="16:16" ht="15.75" customHeight="1" x14ac:dyDescent="0.35">
      <c r="P566" s="15"/>
    </row>
    <row r="567" spans="16:16" ht="15.75" customHeight="1" x14ac:dyDescent="0.35">
      <c r="P567" s="15"/>
    </row>
    <row r="568" spans="16:16" ht="15.75" customHeight="1" x14ac:dyDescent="0.35">
      <c r="P568" s="15"/>
    </row>
    <row r="569" spans="16:16" ht="15.75" customHeight="1" x14ac:dyDescent="0.35">
      <c r="P569" s="15"/>
    </row>
    <row r="570" spans="16:16" ht="15.75" customHeight="1" x14ac:dyDescent="0.35">
      <c r="P570" s="15"/>
    </row>
    <row r="571" spans="16:16" ht="15.75" customHeight="1" x14ac:dyDescent="0.35">
      <c r="P571" s="15"/>
    </row>
    <row r="572" spans="16:16" ht="15.75" customHeight="1" x14ac:dyDescent="0.35">
      <c r="P572" s="15"/>
    </row>
    <row r="573" spans="16:16" ht="15.75" customHeight="1" x14ac:dyDescent="0.35">
      <c r="P573" s="15"/>
    </row>
    <row r="574" spans="16:16" ht="15.75" customHeight="1" x14ac:dyDescent="0.35">
      <c r="P574" s="15"/>
    </row>
    <row r="575" spans="16:16" ht="15.75" customHeight="1" x14ac:dyDescent="0.35">
      <c r="P575" s="15"/>
    </row>
    <row r="576" spans="16:16" ht="15.75" customHeight="1" x14ac:dyDescent="0.35">
      <c r="P576" s="15"/>
    </row>
    <row r="577" spans="16:16" ht="15.75" customHeight="1" x14ac:dyDescent="0.35">
      <c r="P577" s="15"/>
    </row>
    <row r="578" spans="16:16" ht="15.75" customHeight="1" x14ac:dyDescent="0.35">
      <c r="P578" s="15"/>
    </row>
    <row r="579" spans="16:16" ht="15.75" customHeight="1" x14ac:dyDescent="0.35">
      <c r="P579" s="15"/>
    </row>
    <row r="580" spans="16:16" ht="15.75" customHeight="1" x14ac:dyDescent="0.35">
      <c r="P580" s="15"/>
    </row>
    <row r="581" spans="16:16" ht="15.75" customHeight="1" x14ac:dyDescent="0.35">
      <c r="P581" s="15"/>
    </row>
    <row r="582" spans="16:16" ht="15.75" customHeight="1" x14ac:dyDescent="0.35">
      <c r="P582" s="15"/>
    </row>
    <row r="583" spans="16:16" ht="15.75" customHeight="1" x14ac:dyDescent="0.35">
      <c r="P583" s="15"/>
    </row>
    <row r="584" spans="16:16" ht="15.75" customHeight="1" x14ac:dyDescent="0.35">
      <c r="P584" s="15"/>
    </row>
    <row r="585" spans="16:16" ht="15.75" customHeight="1" x14ac:dyDescent="0.35">
      <c r="P585" s="15"/>
    </row>
    <row r="586" spans="16:16" ht="15.75" customHeight="1" x14ac:dyDescent="0.35">
      <c r="P586" s="15"/>
    </row>
    <row r="587" spans="16:16" ht="15.75" customHeight="1" x14ac:dyDescent="0.35">
      <c r="P587" s="15"/>
    </row>
    <row r="588" spans="16:16" ht="15.75" customHeight="1" x14ac:dyDescent="0.35">
      <c r="P588" s="15"/>
    </row>
    <row r="589" spans="16:16" ht="15.75" customHeight="1" x14ac:dyDescent="0.35">
      <c r="P589" s="15"/>
    </row>
    <row r="590" spans="16:16" ht="15.75" customHeight="1" x14ac:dyDescent="0.35">
      <c r="P590" s="15"/>
    </row>
    <row r="591" spans="16:16" ht="15.75" customHeight="1" x14ac:dyDescent="0.35">
      <c r="P591" s="15"/>
    </row>
    <row r="592" spans="16:16" ht="15.75" customHeight="1" x14ac:dyDescent="0.35">
      <c r="P592" s="15"/>
    </row>
    <row r="593" spans="16:16" ht="15.75" customHeight="1" x14ac:dyDescent="0.35">
      <c r="P593" s="15"/>
    </row>
    <row r="594" spans="16:16" ht="15.75" customHeight="1" x14ac:dyDescent="0.35">
      <c r="P594" s="15"/>
    </row>
    <row r="595" spans="16:16" ht="15.75" customHeight="1" x14ac:dyDescent="0.35">
      <c r="P595" s="15"/>
    </row>
    <row r="596" spans="16:16" ht="15.75" customHeight="1" x14ac:dyDescent="0.35">
      <c r="P596" s="15"/>
    </row>
    <row r="597" spans="16:16" ht="15.75" customHeight="1" x14ac:dyDescent="0.35">
      <c r="P597" s="15"/>
    </row>
    <row r="598" spans="16:16" ht="15.75" customHeight="1" x14ac:dyDescent="0.35">
      <c r="P598" s="15"/>
    </row>
    <row r="599" spans="16:16" ht="15.75" customHeight="1" x14ac:dyDescent="0.35">
      <c r="P599" s="15"/>
    </row>
    <row r="600" spans="16:16" ht="15.75" customHeight="1" x14ac:dyDescent="0.35">
      <c r="P600" s="15"/>
    </row>
    <row r="601" spans="16:16" ht="15.75" customHeight="1" x14ac:dyDescent="0.35">
      <c r="P601" s="15"/>
    </row>
    <row r="602" spans="16:16" ht="15.75" customHeight="1" x14ac:dyDescent="0.35">
      <c r="P602" s="15"/>
    </row>
    <row r="603" spans="16:16" ht="15.75" customHeight="1" x14ac:dyDescent="0.35">
      <c r="P603" s="15"/>
    </row>
    <row r="604" spans="16:16" ht="15.75" customHeight="1" x14ac:dyDescent="0.35">
      <c r="P604" s="15"/>
    </row>
    <row r="605" spans="16:16" ht="15.75" customHeight="1" x14ac:dyDescent="0.35">
      <c r="P605" s="15"/>
    </row>
    <row r="606" spans="16:16" ht="15.75" customHeight="1" x14ac:dyDescent="0.35">
      <c r="P606" s="15"/>
    </row>
    <row r="607" spans="16:16" ht="15.75" customHeight="1" x14ac:dyDescent="0.35">
      <c r="P607" s="15"/>
    </row>
    <row r="608" spans="16:16" ht="15.75" customHeight="1" x14ac:dyDescent="0.35">
      <c r="P608" s="15"/>
    </row>
    <row r="609" spans="16:16" ht="15.75" customHeight="1" x14ac:dyDescent="0.35">
      <c r="P609" s="15"/>
    </row>
    <row r="610" spans="16:16" ht="15.75" customHeight="1" x14ac:dyDescent="0.35">
      <c r="P610" s="15"/>
    </row>
    <row r="611" spans="16:16" ht="15.75" customHeight="1" x14ac:dyDescent="0.35">
      <c r="P611" s="15"/>
    </row>
    <row r="612" spans="16:16" ht="15.75" customHeight="1" x14ac:dyDescent="0.35">
      <c r="P612" s="15"/>
    </row>
    <row r="613" spans="16:16" ht="15.75" customHeight="1" x14ac:dyDescent="0.35">
      <c r="P613" s="15"/>
    </row>
    <row r="614" spans="16:16" ht="15.75" customHeight="1" x14ac:dyDescent="0.35">
      <c r="P614" s="15"/>
    </row>
    <row r="615" spans="16:16" ht="15.75" customHeight="1" x14ac:dyDescent="0.35">
      <c r="P615" s="15"/>
    </row>
    <row r="616" spans="16:16" ht="15.75" customHeight="1" x14ac:dyDescent="0.35">
      <c r="P616" s="15"/>
    </row>
    <row r="617" spans="16:16" ht="15.75" customHeight="1" x14ac:dyDescent="0.35">
      <c r="P617" s="15"/>
    </row>
    <row r="618" spans="16:16" ht="15.75" customHeight="1" x14ac:dyDescent="0.35">
      <c r="P618" s="15"/>
    </row>
    <row r="619" spans="16:16" ht="15.75" customHeight="1" x14ac:dyDescent="0.35">
      <c r="P619" s="15"/>
    </row>
    <row r="620" spans="16:16" ht="15.75" customHeight="1" x14ac:dyDescent="0.35">
      <c r="P620" s="15"/>
    </row>
    <row r="621" spans="16:16" ht="15.75" customHeight="1" x14ac:dyDescent="0.35">
      <c r="P621" s="15"/>
    </row>
    <row r="622" spans="16:16" ht="15.75" customHeight="1" x14ac:dyDescent="0.35">
      <c r="P622" s="15"/>
    </row>
    <row r="623" spans="16:16" ht="15.75" customHeight="1" x14ac:dyDescent="0.35">
      <c r="P623" s="15"/>
    </row>
    <row r="624" spans="16:16" ht="15.75" customHeight="1" x14ac:dyDescent="0.35">
      <c r="P624" s="15"/>
    </row>
    <row r="625" spans="16:16" ht="15.75" customHeight="1" x14ac:dyDescent="0.35">
      <c r="P625" s="15"/>
    </row>
    <row r="626" spans="16:16" ht="15.75" customHeight="1" x14ac:dyDescent="0.35">
      <c r="P626" s="15"/>
    </row>
    <row r="627" spans="16:16" ht="15.75" customHeight="1" x14ac:dyDescent="0.35">
      <c r="P627" s="15"/>
    </row>
    <row r="628" spans="16:16" ht="15.75" customHeight="1" x14ac:dyDescent="0.35">
      <c r="P628" s="15"/>
    </row>
    <row r="629" spans="16:16" ht="15.75" customHeight="1" x14ac:dyDescent="0.35">
      <c r="P629" s="15"/>
    </row>
    <row r="630" spans="16:16" ht="15.75" customHeight="1" x14ac:dyDescent="0.35">
      <c r="P630" s="15"/>
    </row>
    <row r="631" spans="16:16" ht="15.75" customHeight="1" x14ac:dyDescent="0.35">
      <c r="P631" s="15"/>
    </row>
    <row r="632" spans="16:16" ht="15.75" customHeight="1" x14ac:dyDescent="0.35">
      <c r="P632" s="15"/>
    </row>
    <row r="633" spans="16:16" ht="15.75" customHeight="1" x14ac:dyDescent="0.35">
      <c r="P633" s="15"/>
    </row>
    <row r="634" spans="16:16" ht="15.75" customHeight="1" x14ac:dyDescent="0.35">
      <c r="P634" s="15"/>
    </row>
    <row r="635" spans="16:16" ht="15.75" customHeight="1" x14ac:dyDescent="0.35">
      <c r="P635" s="15"/>
    </row>
    <row r="636" spans="16:16" ht="15.75" customHeight="1" x14ac:dyDescent="0.35">
      <c r="P636" s="15"/>
    </row>
    <row r="637" spans="16:16" ht="15.75" customHeight="1" x14ac:dyDescent="0.35">
      <c r="P637" s="15"/>
    </row>
    <row r="638" spans="16:16" ht="15.75" customHeight="1" x14ac:dyDescent="0.35">
      <c r="P638" s="15"/>
    </row>
    <row r="639" spans="16:16" ht="15.75" customHeight="1" x14ac:dyDescent="0.35">
      <c r="P639" s="15"/>
    </row>
    <row r="640" spans="16:16" ht="15.75" customHeight="1" x14ac:dyDescent="0.35">
      <c r="P640" s="15"/>
    </row>
    <row r="641" spans="16:16" ht="15.75" customHeight="1" x14ac:dyDescent="0.35">
      <c r="P641" s="15"/>
    </row>
    <row r="642" spans="16:16" ht="15.75" customHeight="1" x14ac:dyDescent="0.35">
      <c r="P642" s="15"/>
    </row>
    <row r="643" spans="16:16" ht="15.75" customHeight="1" x14ac:dyDescent="0.35">
      <c r="P643" s="15"/>
    </row>
    <row r="644" spans="16:16" ht="15.75" customHeight="1" x14ac:dyDescent="0.35">
      <c r="P644" s="15"/>
    </row>
    <row r="645" spans="16:16" ht="15.75" customHeight="1" x14ac:dyDescent="0.35">
      <c r="P645" s="15"/>
    </row>
    <row r="646" spans="16:16" ht="15.75" customHeight="1" x14ac:dyDescent="0.35">
      <c r="P646" s="15"/>
    </row>
    <row r="647" spans="16:16" ht="15.75" customHeight="1" x14ac:dyDescent="0.35">
      <c r="P647" s="15"/>
    </row>
    <row r="648" spans="16:16" ht="15.75" customHeight="1" x14ac:dyDescent="0.35">
      <c r="P648" s="15"/>
    </row>
    <row r="649" spans="16:16" ht="15.75" customHeight="1" x14ac:dyDescent="0.35">
      <c r="P649" s="15"/>
    </row>
    <row r="650" spans="16:16" ht="15.75" customHeight="1" x14ac:dyDescent="0.35">
      <c r="P650" s="15"/>
    </row>
    <row r="651" spans="16:16" ht="15.75" customHeight="1" x14ac:dyDescent="0.35">
      <c r="P651" s="15"/>
    </row>
    <row r="652" spans="16:16" ht="15.75" customHeight="1" x14ac:dyDescent="0.35">
      <c r="P652" s="15"/>
    </row>
    <row r="653" spans="16:16" ht="15.75" customHeight="1" x14ac:dyDescent="0.35">
      <c r="P653" s="15"/>
    </row>
    <row r="654" spans="16:16" ht="15.75" customHeight="1" x14ac:dyDescent="0.35">
      <c r="P654" s="15"/>
    </row>
    <row r="655" spans="16:16" ht="15.75" customHeight="1" x14ac:dyDescent="0.35">
      <c r="P655" s="15"/>
    </row>
    <row r="656" spans="16:16" ht="15.75" customHeight="1" x14ac:dyDescent="0.35">
      <c r="P656" s="15"/>
    </row>
    <row r="657" spans="16:16" ht="15.75" customHeight="1" x14ac:dyDescent="0.35">
      <c r="P657" s="15"/>
    </row>
    <row r="658" spans="16:16" ht="15.75" customHeight="1" x14ac:dyDescent="0.35">
      <c r="P658" s="15"/>
    </row>
    <row r="659" spans="16:16" ht="15.75" customHeight="1" x14ac:dyDescent="0.35">
      <c r="P659" s="15"/>
    </row>
    <row r="660" spans="16:16" ht="15.75" customHeight="1" x14ac:dyDescent="0.35">
      <c r="P660" s="15"/>
    </row>
    <row r="661" spans="16:16" ht="15.75" customHeight="1" x14ac:dyDescent="0.35">
      <c r="P661" s="15"/>
    </row>
    <row r="662" spans="16:16" ht="15.75" customHeight="1" x14ac:dyDescent="0.35">
      <c r="P662" s="15"/>
    </row>
    <row r="663" spans="16:16" ht="15.75" customHeight="1" x14ac:dyDescent="0.35">
      <c r="P663" s="15"/>
    </row>
    <row r="664" spans="16:16" ht="15.75" customHeight="1" x14ac:dyDescent="0.35">
      <c r="P664" s="15"/>
    </row>
    <row r="665" spans="16:16" ht="15.75" customHeight="1" x14ac:dyDescent="0.35">
      <c r="P665" s="15"/>
    </row>
    <row r="666" spans="16:16" ht="15.75" customHeight="1" x14ac:dyDescent="0.35">
      <c r="P666" s="15"/>
    </row>
    <row r="667" spans="16:16" ht="15.75" customHeight="1" x14ac:dyDescent="0.35">
      <c r="P667" s="15"/>
    </row>
    <row r="668" spans="16:16" ht="15.75" customHeight="1" x14ac:dyDescent="0.35">
      <c r="P668" s="15"/>
    </row>
    <row r="669" spans="16:16" ht="15.75" customHeight="1" x14ac:dyDescent="0.35">
      <c r="P669" s="15"/>
    </row>
    <row r="670" spans="16:16" ht="15.75" customHeight="1" x14ac:dyDescent="0.35">
      <c r="P670" s="15"/>
    </row>
    <row r="671" spans="16:16" ht="15.75" customHeight="1" x14ac:dyDescent="0.35">
      <c r="P671" s="15"/>
    </row>
    <row r="672" spans="16:16" ht="15.75" customHeight="1" x14ac:dyDescent="0.35">
      <c r="P672" s="15"/>
    </row>
    <row r="673" spans="16:16" ht="15.75" customHeight="1" x14ac:dyDescent="0.35">
      <c r="P673" s="15"/>
    </row>
    <row r="674" spans="16:16" ht="15.75" customHeight="1" x14ac:dyDescent="0.35">
      <c r="P674" s="15"/>
    </row>
    <row r="675" spans="16:16" ht="15.75" customHeight="1" x14ac:dyDescent="0.35">
      <c r="P675" s="15"/>
    </row>
    <row r="676" spans="16:16" ht="15.75" customHeight="1" x14ac:dyDescent="0.35">
      <c r="P676" s="15"/>
    </row>
    <row r="677" spans="16:16" ht="15.75" customHeight="1" x14ac:dyDescent="0.35">
      <c r="P677" s="15"/>
    </row>
    <row r="678" spans="16:16" ht="15.75" customHeight="1" x14ac:dyDescent="0.35">
      <c r="P678" s="15"/>
    </row>
    <row r="679" spans="16:16" ht="15.75" customHeight="1" x14ac:dyDescent="0.35">
      <c r="P679" s="15"/>
    </row>
    <row r="680" spans="16:16" ht="15.75" customHeight="1" x14ac:dyDescent="0.35">
      <c r="P680" s="15"/>
    </row>
    <row r="681" spans="16:16" ht="15.75" customHeight="1" x14ac:dyDescent="0.35">
      <c r="P681" s="15"/>
    </row>
    <row r="682" spans="16:16" ht="15.75" customHeight="1" x14ac:dyDescent="0.35">
      <c r="P682" s="15"/>
    </row>
    <row r="683" spans="16:16" ht="15.75" customHeight="1" x14ac:dyDescent="0.35">
      <c r="P683" s="15"/>
    </row>
    <row r="684" spans="16:16" ht="15.75" customHeight="1" x14ac:dyDescent="0.35">
      <c r="P684" s="15"/>
    </row>
    <row r="685" spans="16:16" ht="15.75" customHeight="1" x14ac:dyDescent="0.35">
      <c r="P685" s="15"/>
    </row>
    <row r="686" spans="16:16" ht="15.75" customHeight="1" x14ac:dyDescent="0.35">
      <c r="P686" s="15"/>
    </row>
    <row r="687" spans="16:16" ht="15.75" customHeight="1" x14ac:dyDescent="0.35">
      <c r="P687" s="15"/>
    </row>
    <row r="688" spans="16:16" ht="15.75" customHeight="1" x14ac:dyDescent="0.35">
      <c r="P688" s="15"/>
    </row>
    <row r="689" spans="16:16" ht="15.75" customHeight="1" x14ac:dyDescent="0.35">
      <c r="P689" s="15"/>
    </row>
    <row r="690" spans="16:16" ht="15.75" customHeight="1" x14ac:dyDescent="0.35">
      <c r="P690" s="15"/>
    </row>
    <row r="691" spans="16:16" ht="15.75" customHeight="1" x14ac:dyDescent="0.35">
      <c r="P691" s="15"/>
    </row>
    <row r="692" spans="16:16" ht="15.75" customHeight="1" x14ac:dyDescent="0.35">
      <c r="P692" s="15"/>
    </row>
    <row r="693" spans="16:16" ht="15.75" customHeight="1" x14ac:dyDescent="0.35">
      <c r="P693" s="15"/>
    </row>
    <row r="694" spans="16:16" ht="15.75" customHeight="1" x14ac:dyDescent="0.35">
      <c r="P694" s="15"/>
    </row>
    <row r="695" spans="16:16" ht="15.75" customHeight="1" x14ac:dyDescent="0.35">
      <c r="P695" s="15"/>
    </row>
    <row r="696" spans="16:16" ht="15.75" customHeight="1" x14ac:dyDescent="0.35">
      <c r="P696" s="15"/>
    </row>
    <row r="697" spans="16:16" ht="15.75" customHeight="1" x14ac:dyDescent="0.35">
      <c r="P697" s="15"/>
    </row>
    <row r="698" spans="16:16" ht="15.75" customHeight="1" x14ac:dyDescent="0.35">
      <c r="P698" s="15"/>
    </row>
    <row r="699" spans="16:16" ht="15.75" customHeight="1" x14ac:dyDescent="0.35">
      <c r="P699" s="15"/>
    </row>
    <row r="700" spans="16:16" ht="15.75" customHeight="1" x14ac:dyDescent="0.35">
      <c r="P700" s="15"/>
    </row>
    <row r="701" spans="16:16" ht="15.75" customHeight="1" x14ac:dyDescent="0.35">
      <c r="P701" s="15"/>
    </row>
    <row r="702" spans="16:16" ht="15.75" customHeight="1" x14ac:dyDescent="0.35">
      <c r="P702" s="15"/>
    </row>
    <row r="703" spans="16:16" ht="15.75" customHeight="1" x14ac:dyDescent="0.35">
      <c r="P703" s="15"/>
    </row>
    <row r="704" spans="16:16" ht="15.75" customHeight="1" x14ac:dyDescent="0.35">
      <c r="P704" s="15"/>
    </row>
    <row r="705" spans="16:16" ht="15.75" customHeight="1" x14ac:dyDescent="0.35">
      <c r="P705" s="15"/>
    </row>
    <row r="706" spans="16:16" ht="15.75" customHeight="1" x14ac:dyDescent="0.35">
      <c r="P706" s="15"/>
    </row>
    <row r="707" spans="16:16" ht="15.75" customHeight="1" x14ac:dyDescent="0.35">
      <c r="P707" s="15"/>
    </row>
    <row r="708" spans="16:16" ht="15.75" customHeight="1" x14ac:dyDescent="0.35">
      <c r="P708" s="15"/>
    </row>
    <row r="709" spans="16:16" ht="15.75" customHeight="1" x14ac:dyDescent="0.35">
      <c r="P709" s="15"/>
    </row>
    <row r="710" spans="16:16" ht="15.75" customHeight="1" x14ac:dyDescent="0.35">
      <c r="P710" s="15"/>
    </row>
    <row r="711" spans="16:16" ht="15.75" customHeight="1" x14ac:dyDescent="0.35">
      <c r="P711" s="15"/>
    </row>
    <row r="712" spans="16:16" ht="15.75" customHeight="1" x14ac:dyDescent="0.35">
      <c r="P712" s="15"/>
    </row>
    <row r="713" spans="16:16" ht="15.75" customHeight="1" x14ac:dyDescent="0.35">
      <c r="P713" s="15"/>
    </row>
    <row r="714" spans="16:16" ht="15.75" customHeight="1" x14ac:dyDescent="0.35">
      <c r="P714" s="15"/>
    </row>
    <row r="715" spans="16:16" ht="15.75" customHeight="1" x14ac:dyDescent="0.35">
      <c r="P715" s="15"/>
    </row>
    <row r="716" spans="16:16" ht="15.75" customHeight="1" x14ac:dyDescent="0.35">
      <c r="P716" s="15"/>
    </row>
    <row r="717" spans="16:16" ht="15.75" customHeight="1" x14ac:dyDescent="0.35">
      <c r="P717" s="15"/>
    </row>
    <row r="718" spans="16:16" ht="15.75" customHeight="1" x14ac:dyDescent="0.35">
      <c r="P718" s="15"/>
    </row>
    <row r="719" spans="16:16" ht="15.75" customHeight="1" x14ac:dyDescent="0.35">
      <c r="P719" s="15"/>
    </row>
    <row r="720" spans="16:16" ht="15.75" customHeight="1" x14ac:dyDescent="0.35">
      <c r="P720" s="15"/>
    </row>
    <row r="721" spans="16:16" ht="15.75" customHeight="1" x14ac:dyDescent="0.35">
      <c r="P721" s="15"/>
    </row>
    <row r="722" spans="16:16" ht="15.75" customHeight="1" x14ac:dyDescent="0.35">
      <c r="P722" s="15"/>
    </row>
    <row r="723" spans="16:16" ht="15.75" customHeight="1" x14ac:dyDescent="0.35">
      <c r="P723" s="15"/>
    </row>
    <row r="724" spans="16:16" ht="15.75" customHeight="1" x14ac:dyDescent="0.35">
      <c r="P724" s="15"/>
    </row>
    <row r="725" spans="16:16" ht="15.75" customHeight="1" x14ac:dyDescent="0.35">
      <c r="P725" s="15"/>
    </row>
    <row r="726" spans="16:16" ht="15.75" customHeight="1" x14ac:dyDescent="0.35">
      <c r="P726" s="15"/>
    </row>
    <row r="727" spans="16:16" ht="15.75" customHeight="1" x14ac:dyDescent="0.35">
      <c r="P727" s="15"/>
    </row>
    <row r="728" spans="16:16" ht="15.75" customHeight="1" x14ac:dyDescent="0.35">
      <c r="P728" s="15"/>
    </row>
    <row r="729" spans="16:16" ht="15.75" customHeight="1" x14ac:dyDescent="0.35">
      <c r="P729" s="15"/>
    </row>
    <row r="730" spans="16:16" ht="15.75" customHeight="1" x14ac:dyDescent="0.35">
      <c r="P730" s="15"/>
    </row>
    <row r="731" spans="16:16" ht="15.75" customHeight="1" x14ac:dyDescent="0.35">
      <c r="P731" s="15"/>
    </row>
    <row r="732" spans="16:16" ht="15.75" customHeight="1" x14ac:dyDescent="0.35">
      <c r="P732" s="15"/>
    </row>
    <row r="733" spans="16:16" ht="15.75" customHeight="1" x14ac:dyDescent="0.35">
      <c r="P733" s="15"/>
    </row>
    <row r="734" spans="16:16" ht="15.75" customHeight="1" x14ac:dyDescent="0.35">
      <c r="P734" s="15"/>
    </row>
    <row r="735" spans="16:16" ht="15.75" customHeight="1" x14ac:dyDescent="0.35">
      <c r="P735" s="15"/>
    </row>
    <row r="736" spans="16:16" ht="15.75" customHeight="1" x14ac:dyDescent="0.35">
      <c r="P736" s="15"/>
    </row>
    <row r="737" spans="16:16" ht="15.75" customHeight="1" x14ac:dyDescent="0.35">
      <c r="P737" s="15"/>
    </row>
    <row r="738" spans="16:16" ht="15.75" customHeight="1" x14ac:dyDescent="0.35">
      <c r="P738" s="15"/>
    </row>
    <row r="739" spans="16:16" ht="15.75" customHeight="1" x14ac:dyDescent="0.35">
      <c r="P739" s="15"/>
    </row>
    <row r="740" spans="16:16" ht="15.75" customHeight="1" x14ac:dyDescent="0.35">
      <c r="P740" s="15"/>
    </row>
    <row r="741" spans="16:16" ht="15.75" customHeight="1" x14ac:dyDescent="0.35">
      <c r="P741" s="15"/>
    </row>
    <row r="742" spans="16:16" ht="15.75" customHeight="1" x14ac:dyDescent="0.35">
      <c r="P742" s="15"/>
    </row>
    <row r="743" spans="16:16" ht="15.75" customHeight="1" x14ac:dyDescent="0.35">
      <c r="P743" s="15"/>
    </row>
    <row r="744" spans="16:16" ht="15.75" customHeight="1" x14ac:dyDescent="0.35">
      <c r="P744" s="15"/>
    </row>
    <row r="745" spans="16:16" ht="15.75" customHeight="1" x14ac:dyDescent="0.35">
      <c r="P745" s="15"/>
    </row>
    <row r="746" spans="16:16" ht="15.75" customHeight="1" x14ac:dyDescent="0.35">
      <c r="P746" s="15"/>
    </row>
    <row r="747" spans="16:16" ht="15.75" customHeight="1" x14ac:dyDescent="0.35">
      <c r="P747" s="15"/>
    </row>
    <row r="748" spans="16:16" ht="15.75" customHeight="1" x14ac:dyDescent="0.35">
      <c r="P748" s="15"/>
    </row>
    <row r="749" spans="16:16" ht="15.75" customHeight="1" x14ac:dyDescent="0.35">
      <c r="P749" s="15"/>
    </row>
    <row r="750" spans="16:16" ht="15.75" customHeight="1" x14ac:dyDescent="0.35">
      <c r="P750" s="15"/>
    </row>
    <row r="751" spans="16:16" ht="15.75" customHeight="1" x14ac:dyDescent="0.35">
      <c r="P751" s="15"/>
    </row>
    <row r="752" spans="16:16" ht="15.75" customHeight="1" x14ac:dyDescent="0.35">
      <c r="P752" s="15"/>
    </row>
    <row r="753" spans="16:16" ht="15.75" customHeight="1" x14ac:dyDescent="0.35">
      <c r="P753" s="15"/>
    </row>
    <row r="754" spans="16:16" ht="15.75" customHeight="1" x14ac:dyDescent="0.35">
      <c r="P754" s="15"/>
    </row>
    <row r="755" spans="16:16" ht="15.75" customHeight="1" x14ac:dyDescent="0.35">
      <c r="P755" s="15"/>
    </row>
    <row r="756" spans="16:16" ht="15.75" customHeight="1" x14ac:dyDescent="0.35">
      <c r="P756" s="15"/>
    </row>
    <row r="757" spans="16:16" ht="15.75" customHeight="1" x14ac:dyDescent="0.35">
      <c r="P757" s="15"/>
    </row>
    <row r="758" spans="16:16" ht="15.75" customHeight="1" x14ac:dyDescent="0.35">
      <c r="P758" s="15"/>
    </row>
    <row r="759" spans="16:16" ht="15.75" customHeight="1" x14ac:dyDescent="0.35">
      <c r="P759" s="15"/>
    </row>
    <row r="760" spans="16:16" ht="15.75" customHeight="1" x14ac:dyDescent="0.35">
      <c r="P760" s="15"/>
    </row>
    <row r="761" spans="16:16" ht="15.75" customHeight="1" x14ac:dyDescent="0.35">
      <c r="P761" s="15"/>
    </row>
    <row r="762" spans="16:16" ht="15.75" customHeight="1" x14ac:dyDescent="0.35">
      <c r="P762" s="15"/>
    </row>
    <row r="763" spans="16:16" ht="15.75" customHeight="1" x14ac:dyDescent="0.35">
      <c r="P763" s="15"/>
    </row>
    <row r="764" spans="16:16" ht="15.75" customHeight="1" x14ac:dyDescent="0.35">
      <c r="P764" s="15"/>
    </row>
    <row r="765" spans="16:16" ht="15.75" customHeight="1" x14ac:dyDescent="0.35">
      <c r="P765" s="15"/>
    </row>
    <row r="766" spans="16:16" ht="15.75" customHeight="1" x14ac:dyDescent="0.35">
      <c r="P766" s="15"/>
    </row>
    <row r="767" spans="16:16" ht="15.75" customHeight="1" x14ac:dyDescent="0.35">
      <c r="P767" s="15"/>
    </row>
    <row r="768" spans="16:16" ht="15.75" customHeight="1" x14ac:dyDescent="0.35">
      <c r="P768" s="15"/>
    </row>
    <row r="769" spans="16:16" ht="15.75" customHeight="1" x14ac:dyDescent="0.35">
      <c r="P769" s="15"/>
    </row>
    <row r="770" spans="16:16" ht="15.75" customHeight="1" x14ac:dyDescent="0.35">
      <c r="P770" s="15"/>
    </row>
    <row r="771" spans="16:16" ht="15.75" customHeight="1" x14ac:dyDescent="0.35">
      <c r="P771" s="15"/>
    </row>
    <row r="772" spans="16:16" ht="15.75" customHeight="1" x14ac:dyDescent="0.35">
      <c r="P772" s="15"/>
    </row>
    <row r="773" spans="16:16" ht="15.75" customHeight="1" x14ac:dyDescent="0.35">
      <c r="P773" s="15"/>
    </row>
    <row r="774" spans="16:16" ht="15.75" customHeight="1" x14ac:dyDescent="0.35">
      <c r="P774" s="15"/>
    </row>
    <row r="775" spans="16:16" ht="15.75" customHeight="1" x14ac:dyDescent="0.35">
      <c r="P775" s="15"/>
    </row>
    <row r="776" spans="16:16" ht="15.75" customHeight="1" x14ac:dyDescent="0.35">
      <c r="P776" s="15"/>
    </row>
    <row r="777" spans="16:16" ht="15.75" customHeight="1" x14ac:dyDescent="0.35">
      <c r="P777" s="15"/>
    </row>
    <row r="778" spans="16:16" ht="15.75" customHeight="1" x14ac:dyDescent="0.35">
      <c r="P778" s="15"/>
    </row>
    <row r="779" spans="16:16" ht="15.75" customHeight="1" x14ac:dyDescent="0.35">
      <c r="P779" s="15"/>
    </row>
    <row r="780" spans="16:16" ht="15.75" customHeight="1" x14ac:dyDescent="0.35">
      <c r="P780" s="15"/>
    </row>
    <row r="781" spans="16:16" ht="15.75" customHeight="1" x14ac:dyDescent="0.35">
      <c r="P781" s="15"/>
    </row>
    <row r="782" spans="16:16" ht="15.75" customHeight="1" x14ac:dyDescent="0.35">
      <c r="P782" s="15"/>
    </row>
    <row r="783" spans="16:16" ht="15.75" customHeight="1" x14ac:dyDescent="0.35">
      <c r="P783" s="15"/>
    </row>
    <row r="784" spans="16:16" ht="15.75" customHeight="1" x14ac:dyDescent="0.35">
      <c r="P784" s="15"/>
    </row>
    <row r="785" spans="16:16" ht="15.75" customHeight="1" x14ac:dyDescent="0.35">
      <c r="P785" s="15"/>
    </row>
    <row r="786" spans="16:16" ht="15.75" customHeight="1" x14ac:dyDescent="0.35">
      <c r="P786" s="15"/>
    </row>
    <row r="787" spans="16:16" ht="15.75" customHeight="1" x14ac:dyDescent="0.35">
      <c r="P787" s="15"/>
    </row>
    <row r="788" spans="16:16" ht="15.75" customHeight="1" x14ac:dyDescent="0.35">
      <c r="P788" s="15"/>
    </row>
    <row r="789" spans="16:16" ht="15.75" customHeight="1" x14ac:dyDescent="0.35">
      <c r="P789" s="15"/>
    </row>
    <row r="790" spans="16:16" ht="15.75" customHeight="1" x14ac:dyDescent="0.35">
      <c r="P790" s="15"/>
    </row>
    <row r="791" spans="16:16" ht="15.75" customHeight="1" x14ac:dyDescent="0.35">
      <c r="P791" s="15"/>
    </row>
    <row r="792" spans="16:16" ht="15.75" customHeight="1" x14ac:dyDescent="0.35">
      <c r="P792" s="15"/>
    </row>
    <row r="793" spans="16:16" ht="15.75" customHeight="1" x14ac:dyDescent="0.35">
      <c r="P793" s="15"/>
    </row>
    <row r="794" spans="16:16" ht="15.75" customHeight="1" x14ac:dyDescent="0.35">
      <c r="P794" s="15"/>
    </row>
    <row r="795" spans="16:16" ht="15.75" customHeight="1" x14ac:dyDescent="0.35">
      <c r="P795" s="15"/>
    </row>
    <row r="796" spans="16:16" ht="15.75" customHeight="1" x14ac:dyDescent="0.35">
      <c r="P796" s="15"/>
    </row>
    <row r="797" spans="16:16" ht="15.75" customHeight="1" x14ac:dyDescent="0.35">
      <c r="P797" s="15"/>
    </row>
    <row r="798" spans="16:16" ht="15.75" customHeight="1" x14ac:dyDescent="0.35">
      <c r="P798" s="15"/>
    </row>
    <row r="799" spans="16:16" ht="15.75" customHeight="1" x14ac:dyDescent="0.35">
      <c r="P799" s="15"/>
    </row>
    <row r="800" spans="16:16" ht="15.75" customHeight="1" x14ac:dyDescent="0.35">
      <c r="P800" s="15"/>
    </row>
    <row r="801" spans="16:16" ht="15.75" customHeight="1" x14ac:dyDescent="0.35">
      <c r="P801" s="15"/>
    </row>
    <row r="802" spans="16:16" ht="15.75" customHeight="1" x14ac:dyDescent="0.35">
      <c r="P802" s="15"/>
    </row>
    <row r="803" spans="16:16" ht="15.75" customHeight="1" x14ac:dyDescent="0.35">
      <c r="P803" s="15"/>
    </row>
    <row r="804" spans="16:16" ht="15.75" customHeight="1" x14ac:dyDescent="0.35">
      <c r="P804" s="15"/>
    </row>
    <row r="805" spans="16:16" ht="15.75" customHeight="1" x14ac:dyDescent="0.35">
      <c r="P805" s="15"/>
    </row>
    <row r="806" spans="16:16" ht="15.75" customHeight="1" x14ac:dyDescent="0.35">
      <c r="P806" s="15"/>
    </row>
    <row r="807" spans="16:16" ht="15.75" customHeight="1" x14ac:dyDescent="0.35">
      <c r="P807" s="15"/>
    </row>
    <row r="808" spans="16:16" ht="15.75" customHeight="1" x14ac:dyDescent="0.35">
      <c r="P808" s="15"/>
    </row>
    <row r="809" spans="16:16" ht="15.75" customHeight="1" x14ac:dyDescent="0.35">
      <c r="P809" s="15"/>
    </row>
    <row r="810" spans="16:16" ht="15.75" customHeight="1" x14ac:dyDescent="0.35">
      <c r="P810" s="15"/>
    </row>
    <row r="811" spans="16:16" ht="15.75" customHeight="1" x14ac:dyDescent="0.35">
      <c r="P811" s="15"/>
    </row>
    <row r="812" spans="16:16" ht="15.75" customHeight="1" x14ac:dyDescent="0.35">
      <c r="P812" s="15"/>
    </row>
    <row r="813" spans="16:16" ht="15.75" customHeight="1" x14ac:dyDescent="0.35">
      <c r="P813" s="15"/>
    </row>
    <row r="814" spans="16:16" ht="15.75" customHeight="1" x14ac:dyDescent="0.35">
      <c r="P814" s="15"/>
    </row>
    <row r="815" spans="16:16" ht="15.75" customHeight="1" x14ac:dyDescent="0.35">
      <c r="P815" s="15"/>
    </row>
    <row r="816" spans="16:16" ht="15.75" customHeight="1" x14ac:dyDescent="0.35">
      <c r="P816" s="15"/>
    </row>
    <row r="817" spans="16:16" ht="15.75" customHeight="1" x14ac:dyDescent="0.35">
      <c r="P817" s="15"/>
    </row>
    <row r="818" spans="16:16" ht="15.75" customHeight="1" x14ac:dyDescent="0.35">
      <c r="P818" s="15"/>
    </row>
    <row r="819" spans="16:16" ht="15.75" customHeight="1" x14ac:dyDescent="0.35">
      <c r="P819" s="15"/>
    </row>
    <row r="820" spans="16:16" ht="15.75" customHeight="1" x14ac:dyDescent="0.35">
      <c r="P820" s="15"/>
    </row>
    <row r="821" spans="16:16" ht="15.75" customHeight="1" x14ac:dyDescent="0.35">
      <c r="P821" s="15"/>
    </row>
    <row r="822" spans="16:16" ht="15.75" customHeight="1" x14ac:dyDescent="0.35">
      <c r="P822" s="15"/>
    </row>
    <row r="823" spans="16:16" ht="15.75" customHeight="1" x14ac:dyDescent="0.35">
      <c r="P823" s="15"/>
    </row>
    <row r="824" spans="16:16" ht="15.75" customHeight="1" x14ac:dyDescent="0.35">
      <c r="P824" s="15"/>
    </row>
    <row r="825" spans="16:16" ht="15.75" customHeight="1" x14ac:dyDescent="0.35">
      <c r="P825" s="15"/>
    </row>
    <row r="826" spans="16:16" ht="15.75" customHeight="1" x14ac:dyDescent="0.35">
      <c r="P826" s="15"/>
    </row>
    <row r="827" spans="16:16" ht="15.75" customHeight="1" x14ac:dyDescent="0.35">
      <c r="P827" s="15"/>
    </row>
    <row r="828" spans="16:16" ht="15.75" customHeight="1" x14ac:dyDescent="0.35">
      <c r="P828" s="15"/>
    </row>
    <row r="829" spans="16:16" ht="15.75" customHeight="1" x14ac:dyDescent="0.35">
      <c r="P829" s="15"/>
    </row>
    <row r="830" spans="16:16" ht="15.75" customHeight="1" x14ac:dyDescent="0.35">
      <c r="P830" s="15"/>
    </row>
    <row r="831" spans="16:16" ht="15.75" customHeight="1" x14ac:dyDescent="0.35">
      <c r="P831" s="15"/>
    </row>
    <row r="832" spans="16:16" ht="15.75" customHeight="1" x14ac:dyDescent="0.35">
      <c r="P832" s="15"/>
    </row>
    <row r="833" spans="16:16" ht="15.75" customHeight="1" x14ac:dyDescent="0.35">
      <c r="P833" s="15"/>
    </row>
    <row r="834" spans="16:16" ht="15.75" customHeight="1" x14ac:dyDescent="0.35">
      <c r="P834" s="15"/>
    </row>
    <row r="835" spans="16:16" ht="15.75" customHeight="1" x14ac:dyDescent="0.35">
      <c r="P835" s="15"/>
    </row>
    <row r="836" spans="16:16" ht="15.75" customHeight="1" x14ac:dyDescent="0.35">
      <c r="P836" s="15"/>
    </row>
    <row r="837" spans="16:16" ht="15.75" customHeight="1" x14ac:dyDescent="0.35">
      <c r="P837" s="15"/>
    </row>
    <row r="838" spans="16:16" ht="15.75" customHeight="1" x14ac:dyDescent="0.35">
      <c r="P838" s="15"/>
    </row>
    <row r="839" spans="16:16" ht="15.75" customHeight="1" x14ac:dyDescent="0.35">
      <c r="P839" s="15"/>
    </row>
    <row r="840" spans="16:16" ht="15.75" customHeight="1" x14ac:dyDescent="0.35">
      <c r="P840" s="15"/>
    </row>
    <row r="841" spans="16:16" ht="15.75" customHeight="1" x14ac:dyDescent="0.35">
      <c r="P841" s="15"/>
    </row>
    <row r="842" spans="16:16" ht="15.75" customHeight="1" x14ac:dyDescent="0.35">
      <c r="P842" s="15"/>
    </row>
    <row r="843" spans="16:16" ht="15.75" customHeight="1" x14ac:dyDescent="0.35">
      <c r="P843" s="15"/>
    </row>
    <row r="844" spans="16:16" ht="15.75" customHeight="1" x14ac:dyDescent="0.35">
      <c r="P844" s="15"/>
    </row>
    <row r="845" spans="16:16" ht="15.75" customHeight="1" x14ac:dyDescent="0.35">
      <c r="P845" s="15"/>
    </row>
    <row r="846" spans="16:16" ht="15.75" customHeight="1" x14ac:dyDescent="0.35">
      <c r="P846" s="15"/>
    </row>
    <row r="847" spans="16:16" ht="15.75" customHeight="1" x14ac:dyDescent="0.35">
      <c r="P847" s="15"/>
    </row>
    <row r="848" spans="16:16" ht="15.75" customHeight="1" x14ac:dyDescent="0.35">
      <c r="P848" s="15"/>
    </row>
    <row r="849" spans="16:16" ht="15.75" customHeight="1" x14ac:dyDescent="0.35">
      <c r="P849" s="15"/>
    </row>
    <row r="850" spans="16:16" ht="15.75" customHeight="1" x14ac:dyDescent="0.35">
      <c r="P850" s="15"/>
    </row>
    <row r="851" spans="16:16" ht="15.75" customHeight="1" x14ac:dyDescent="0.35">
      <c r="P851" s="15"/>
    </row>
    <row r="852" spans="16:16" ht="15.75" customHeight="1" x14ac:dyDescent="0.35">
      <c r="P852" s="15"/>
    </row>
    <row r="853" spans="16:16" ht="15.75" customHeight="1" x14ac:dyDescent="0.35">
      <c r="P853" s="15"/>
    </row>
    <row r="854" spans="16:16" ht="15.75" customHeight="1" x14ac:dyDescent="0.35">
      <c r="P854" s="15"/>
    </row>
    <row r="855" spans="16:16" ht="15.75" customHeight="1" x14ac:dyDescent="0.35">
      <c r="P855" s="15"/>
    </row>
    <row r="856" spans="16:16" ht="15.75" customHeight="1" x14ac:dyDescent="0.35">
      <c r="P856" s="15"/>
    </row>
    <row r="857" spans="16:16" ht="15.75" customHeight="1" x14ac:dyDescent="0.35">
      <c r="P857" s="15"/>
    </row>
    <row r="858" spans="16:16" ht="15.75" customHeight="1" x14ac:dyDescent="0.35">
      <c r="P858" s="15"/>
    </row>
    <row r="859" spans="16:16" ht="15.75" customHeight="1" x14ac:dyDescent="0.35">
      <c r="P859" s="15"/>
    </row>
    <row r="860" spans="16:16" ht="15.75" customHeight="1" x14ac:dyDescent="0.35">
      <c r="P860" s="15"/>
    </row>
    <row r="861" spans="16:16" ht="15.75" customHeight="1" x14ac:dyDescent="0.35">
      <c r="P861" s="15"/>
    </row>
    <row r="862" spans="16:16" ht="15.75" customHeight="1" x14ac:dyDescent="0.35">
      <c r="P862" s="15"/>
    </row>
    <row r="863" spans="16:16" ht="15.75" customHeight="1" x14ac:dyDescent="0.35">
      <c r="P863" s="15"/>
    </row>
    <row r="864" spans="16:16" ht="15.75" customHeight="1" x14ac:dyDescent="0.35">
      <c r="P864" s="15"/>
    </row>
    <row r="865" spans="16:16" ht="15.75" customHeight="1" x14ac:dyDescent="0.35">
      <c r="P865" s="15"/>
    </row>
    <row r="866" spans="16:16" ht="15.75" customHeight="1" x14ac:dyDescent="0.35">
      <c r="P866" s="15"/>
    </row>
    <row r="867" spans="16:16" ht="15.75" customHeight="1" x14ac:dyDescent="0.35">
      <c r="P867" s="15"/>
    </row>
    <row r="868" spans="16:16" ht="15.75" customHeight="1" x14ac:dyDescent="0.35">
      <c r="P868" s="15"/>
    </row>
    <row r="869" spans="16:16" ht="15.75" customHeight="1" x14ac:dyDescent="0.35">
      <c r="P869" s="15"/>
    </row>
    <row r="870" spans="16:16" ht="15.75" customHeight="1" x14ac:dyDescent="0.35">
      <c r="P870" s="15"/>
    </row>
    <row r="871" spans="16:16" ht="15.75" customHeight="1" x14ac:dyDescent="0.35">
      <c r="P871" s="15"/>
    </row>
    <row r="872" spans="16:16" ht="15.75" customHeight="1" x14ac:dyDescent="0.35">
      <c r="P872" s="15"/>
    </row>
    <row r="873" spans="16:16" ht="15.75" customHeight="1" x14ac:dyDescent="0.35">
      <c r="P873" s="15"/>
    </row>
    <row r="874" spans="16:16" ht="15.75" customHeight="1" x14ac:dyDescent="0.35">
      <c r="P874" s="15"/>
    </row>
    <row r="875" spans="16:16" ht="15.75" customHeight="1" x14ac:dyDescent="0.35">
      <c r="P875" s="15"/>
    </row>
    <row r="876" spans="16:16" ht="15.75" customHeight="1" x14ac:dyDescent="0.35">
      <c r="P876" s="15"/>
    </row>
    <row r="877" spans="16:16" ht="15.75" customHeight="1" x14ac:dyDescent="0.35">
      <c r="P877" s="15"/>
    </row>
    <row r="878" spans="16:16" ht="15.75" customHeight="1" x14ac:dyDescent="0.35">
      <c r="P878" s="15"/>
    </row>
    <row r="879" spans="16:16" ht="15.75" customHeight="1" x14ac:dyDescent="0.35">
      <c r="P879" s="15"/>
    </row>
    <row r="880" spans="16:16" ht="15.75" customHeight="1" x14ac:dyDescent="0.35">
      <c r="P880" s="15"/>
    </row>
    <row r="881" spans="16:16" ht="15.75" customHeight="1" x14ac:dyDescent="0.35">
      <c r="P881" s="15"/>
    </row>
    <row r="882" spans="16:16" ht="15.75" customHeight="1" x14ac:dyDescent="0.35">
      <c r="P882" s="15"/>
    </row>
    <row r="883" spans="16:16" ht="15.75" customHeight="1" x14ac:dyDescent="0.35">
      <c r="P883" s="15"/>
    </row>
    <row r="884" spans="16:16" ht="15.75" customHeight="1" x14ac:dyDescent="0.35">
      <c r="P884" s="15"/>
    </row>
    <row r="885" spans="16:16" ht="15.75" customHeight="1" x14ac:dyDescent="0.35">
      <c r="P885" s="15"/>
    </row>
    <row r="886" spans="16:16" ht="15.75" customHeight="1" x14ac:dyDescent="0.35">
      <c r="P886" s="15"/>
    </row>
    <row r="887" spans="16:16" ht="15.75" customHeight="1" x14ac:dyDescent="0.35">
      <c r="P887" s="15"/>
    </row>
    <row r="888" spans="16:16" ht="15.75" customHeight="1" x14ac:dyDescent="0.35">
      <c r="P888" s="15"/>
    </row>
    <row r="889" spans="16:16" ht="15.75" customHeight="1" x14ac:dyDescent="0.35">
      <c r="P889" s="15"/>
    </row>
    <row r="890" spans="16:16" ht="15.75" customHeight="1" x14ac:dyDescent="0.35">
      <c r="P890" s="15"/>
    </row>
    <row r="891" spans="16:16" ht="15.75" customHeight="1" x14ac:dyDescent="0.35">
      <c r="P891" s="15"/>
    </row>
    <row r="892" spans="16:16" ht="15.75" customHeight="1" x14ac:dyDescent="0.35">
      <c r="P892" s="15"/>
    </row>
    <row r="893" spans="16:16" ht="15.75" customHeight="1" x14ac:dyDescent="0.35">
      <c r="P893" s="15"/>
    </row>
    <row r="894" spans="16:16" ht="15.75" customHeight="1" x14ac:dyDescent="0.35">
      <c r="P894" s="15"/>
    </row>
    <row r="895" spans="16:16" ht="15.75" customHeight="1" x14ac:dyDescent="0.35">
      <c r="P895" s="15"/>
    </row>
    <row r="896" spans="16:16" ht="15.75" customHeight="1" x14ac:dyDescent="0.35">
      <c r="P896" s="15"/>
    </row>
    <row r="897" spans="16:16" ht="15.75" customHeight="1" x14ac:dyDescent="0.35">
      <c r="P897" s="15"/>
    </row>
    <row r="898" spans="16:16" ht="15.75" customHeight="1" x14ac:dyDescent="0.35">
      <c r="P898" s="15"/>
    </row>
    <row r="899" spans="16:16" ht="15.75" customHeight="1" x14ac:dyDescent="0.35">
      <c r="P899" s="15"/>
    </row>
    <row r="900" spans="16:16" ht="15.75" customHeight="1" x14ac:dyDescent="0.35">
      <c r="P900" s="15"/>
    </row>
    <row r="901" spans="16:16" ht="15.75" customHeight="1" x14ac:dyDescent="0.35">
      <c r="P901" s="15"/>
    </row>
    <row r="902" spans="16:16" ht="15.75" customHeight="1" x14ac:dyDescent="0.35">
      <c r="P902" s="15"/>
    </row>
    <row r="903" spans="16:16" ht="15.75" customHeight="1" x14ac:dyDescent="0.35">
      <c r="P903" s="15"/>
    </row>
    <row r="904" spans="16:16" ht="15.75" customHeight="1" x14ac:dyDescent="0.35">
      <c r="P904" s="15"/>
    </row>
    <row r="905" spans="16:16" ht="15.75" customHeight="1" x14ac:dyDescent="0.35">
      <c r="P905" s="15"/>
    </row>
    <row r="906" spans="16:16" ht="15.75" customHeight="1" x14ac:dyDescent="0.35">
      <c r="P906" s="15"/>
    </row>
    <row r="907" spans="16:16" ht="15.75" customHeight="1" x14ac:dyDescent="0.35">
      <c r="P907" s="15"/>
    </row>
    <row r="908" spans="16:16" ht="15.75" customHeight="1" x14ac:dyDescent="0.35">
      <c r="P908" s="15"/>
    </row>
    <row r="909" spans="16:16" ht="15.75" customHeight="1" x14ac:dyDescent="0.35">
      <c r="P909" s="15"/>
    </row>
    <row r="910" spans="16:16" ht="15.75" customHeight="1" x14ac:dyDescent="0.35">
      <c r="P910" s="15"/>
    </row>
    <row r="911" spans="16:16" ht="15.75" customHeight="1" x14ac:dyDescent="0.35">
      <c r="P911" s="15"/>
    </row>
    <row r="912" spans="16:16" ht="15.75" customHeight="1" x14ac:dyDescent="0.35">
      <c r="P912" s="15"/>
    </row>
    <row r="913" spans="16:16" ht="15.75" customHeight="1" x14ac:dyDescent="0.35">
      <c r="P913" s="15"/>
    </row>
    <row r="914" spans="16:16" ht="15.75" customHeight="1" x14ac:dyDescent="0.35">
      <c r="P914" s="15"/>
    </row>
    <row r="915" spans="16:16" ht="15.75" customHeight="1" x14ac:dyDescent="0.35">
      <c r="P915" s="15"/>
    </row>
    <row r="916" spans="16:16" ht="15.75" customHeight="1" x14ac:dyDescent="0.35">
      <c r="P916" s="15"/>
    </row>
    <row r="917" spans="16:16" ht="15.75" customHeight="1" x14ac:dyDescent="0.35">
      <c r="P917" s="15"/>
    </row>
    <row r="918" spans="16:16" ht="15.75" customHeight="1" x14ac:dyDescent="0.35">
      <c r="P918" s="15"/>
    </row>
    <row r="919" spans="16:16" ht="15.75" customHeight="1" x14ac:dyDescent="0.35">
      <c r="P919" s="15"/>
    </row>
    <row r="920" spans="16:16" ht="15.75" customHeight="1" x14ac:dyDescent="0.35">
      <c r="P920" s="15"/>
    </row>
    <row r="921" spans="16:16" ht="15.75" customHeight="1" x14ac:dyDescent="0.35">
      <c r="P921" s="15"/>
    </row>
    <row r="922" spans="16:16" ht="15.75" customHeight="1" x14ac:dyDescent="0.35">
      <c r="P922" s="15"/>
    </row>
    <row r="923" spans="16:16" ht="15.75" customHeight="1" x14ac:dyDescent="0.35">
      <c r="P923" s="15"/>
    </row>
    <row r="924" spans="16:16" ht="15.75" customHeight="1" x14ac:dyDescent="0.35">
      <c r="P924" s="15"/>
    </row>
    <row r="925" spans="16:16" ht="15.75" customHeight="1" x14ac:dyDescent="0.35">
      <c r="P925" s="15"/>
    </row>
    <row r="926" spans="16:16" ht="15.75" customHeight="1" x14ac:dyDescent="0.35">
      <c r="P926" s="15"/>
    </row>
    <row r="927" spans="16:16" ht="15.75" customHeight="1" x14ac:dyDescent="0.35">
      <c r="P927" s="15"/>
    </row>
    <row r="928" spans="16:16" ht="15.75" customHeight="1" x14ac:dyDescent="0.35">
      <c r="P928" s="15"/>
    </row>
    <row r="929" spans="16:16" ht="15.75" customHeight="1" x14ac:dyDescent="0.35">
      <c r="P929" s="15"/>
    </row>
    <row r="930" spans="16:16" ht="15.75" customHeight="1" x14ac:dyDescent="0.35">
      <c r="P930" s="15"/>
    </row>
    <row r="931" spans="16:16" ht="15.75" customHeight="1" x14ac:dyDescent="0.35">
      <c r="P931" s="15"/>
    </row>
    <row r="932" spans="16:16" ht="15.75" customHeight="1" x14ac:dyDescent="0.35">
      <c r="P932" s="15"/>
    </row>
    <row r="933" spans="16:16" ht="15.75" customHeight="1" x14ac:dyDescent="0.35">
      <c r="P933" s="15"/>
    </row>
    <row r="934" spans="16:16" ht="15.75" customHeight="1" x14ac:dyDescent="0.35">
      <c r="P934" s="15"/>
    </row>
    <row r="935" spans="16:16" ht="15.75" customHeight="1" x14ac:dyDescent="0.35">
      <c r="P935" s="15"/>
    </row>
    <row r="936" spans="16:16" ht="15.75" customHeight="1" x14ac:dyDescent="0.35">
      <c r="P936" s="15"/>
    </row>
    <row r="937" spans="16:16" ht="15.75" customHeight="1" x14ac:dyDescent="0.35">
      <c r="P937" s="15"/>
    </row>
    <row r="938" spans="16:16" ht="15.75" customHeight="1" x14ac:dyDescent="0.35">
      <c r="P938" s="15"/>
    </row>
    <row r="939" spans="16:16" ht="15.75" customHeight="1" x14ac:dyDescent="0.35">
      <c r="P939" s="15"/>
    </row>
    <row r="940" spans="16:16" ht="15.75" customHeight="1" x14ac:dyDescent="0.35">
      <c r="P940" s="15"/>
    </row>
    <row r="941" spans="16:16" ht="15.75" customHeight="1" x14ac:dyDescent="0.35">
      <c r="P941" s="15"/>
    </row>
    <row r="942" spans="16:16" ht="15.75" customHeight="1" x14ac:dyDescent="0.35">
      <c r="P942" s="15"/>
    </row>
    <row r="943" spans="16:16" ht="15.75" customHeight="1" x14ac:dyDescent="0.35">
      <c r="P943" s="15"/>
    </row>
    <row r="944" spans="16:16" ht="15.75" customHeight="1" x14ac:dyDescent="0.35">
      <c r="P944" s="15"/>
    </row>
    <row r="945" spans="16:16" ht="15.75" customHeight="1" x14ac:dyDescent="0.35">
      <c r="P945" s="15"/>
    </row>
    <row r="946" spans="16:16" ht="15.75" customHeight="1" x14ac:dyDescent="0.35">
      <c r="P946" s="15"/>
    </row>
    <row r="947" spans="16:16" ht="15.75" customHeight="1" x14ac:dyDescent="0.35">
      <c r="P947" s="15"/>
    </row>
    <row r="948" spans="16:16" ht="15.75" customHeight="1" x14ac:dyDescent="0.35">
      <c r="P948" s="15"/>
    </row>
    <row r="949" spans="16:16" ht="15.75" customHeight="1" x14ac:dyDescent="0.35">
      <c r="P949" s="15"/>
    </row>
    <row r="950" spans="16:16" ht="15.75" customHeight="1" x14ac:dyDescent="0.35">
      <c r="P950" s="15"/>
    </row>
    <row r="951" spans="16:16" ht="15.75" customHeight="1" x14ac:dyDescent="0.35">
      <c r="P951" s="15"/>
    </row>
    <row r="952" spans="16:16" ht="15.75" customHeight="1" x14ac:dyDescent="0.35">
      <c r="P952" s="15"/>
    </row>
    <row r="953" spans="16:16" ht="15.75" customHeight="1" x14ac:dyDescent="0.35">
      <c r="P953" s="15"/>
    </row>
    <row r="954" spans="16:16" ht="15.75" customHeight="1" x14ac:dyDescent="0.35">
      <c r="P954" s="15"/>
    </row>
    <row r="955" spans="16:16" ht="15.75" customHeight="1" x14ac:dyDescent="0.35">
      <c r="P955" s="15"/>
    </row>
    <row r="956" spans="16:16" ht="15.75" customHeight="1" x14ac:dyDescent="0.35">
      <c r="P956" s="15"/>
    </row>
    <row r="957" spans="16:16" ht="15.75" customHeight="1" x14ac:dyDescent="0.35">
      <c r="P957" s="15"/>
    </row>
    <row r="958" spans="16:16" ht="15.75" customHeight="1" x14ac:dyDescent="0.35">
      <c r="P958" s="15"/>
    </row>
    <row r="959" spans="16:16" ht="15.75" customHeight="1" x14ac:dyDescent="0.35">
      <c r="P959" s="15"/>
    </row>
    <row r="960" spans="16:16" ht="15.75" customHeight="1" x14ac:dyDescent="0.35">
      <c r="P960" s="15"/>
    </row>
    <row r="961" spans="16:16" ht="15.75" customHeight="1" x14ac:dyDescent="0.35">
      <c r="P961" s="15"/>
    </row>
    <row r="962" spans="16:16" ht="15.75" customHeight="1" x14ac:dyDescent="0.35">
      <c r="P962" s="15"/>
    </row>
    <row r="963" spans="16:16" ht="15.75" customHeight="1" x14ac:dyDescent="0.35">
      <c r="P963" s="15"/>
    </row>
    <row r="964" spans="16:16" ht="15.75" customHeight="1" x14ac:dyDescent="0.35">
      <c r="P964" s="15"/>
    </row>
    <row r="965" spans="16:16" ht="15.75" customHeight="1" x14ac:dyDescent="0.35">
      <c r="P965" s="15"/>
    </row>
    <row r="966" spans="16:16" ht="15.75" customHeight="1" x14ac:dyDescent="0.35">
      <c r="P966" s="15"/>
    </row>
    <row r="967" spans="16:16" ht="15.75" customHeight="1" x14ac:dyDescent="0.35">
      <c r="P967" s="15"/>
    </row>
    <row r="968" spans="16:16" ht="15.75" customHeight="1" x14ac:dyDescent="0.35">
      <c r="P968" s="15"/>
    </row>
    <row r="969" spans="16:16" ht="15.75" customHeight="1" x14ac:dyDescent="0.35">
      <c r="P969" s="15"/>
    </row>
    <row r="970" spans="16:16" ht="15.75" customHeight="1" x14ac:dyDescent="0.35">
      <c r="P970" s="15"/>
    </row>
    <row r="971" spans="16:16" ht="15.75" customHeight="1" x14ac:dyDescent="0.35">
      <c r="P971" s="15"/>
    </row>
    <row r="972" spans="16:16" ht="15.75" customHeight="1" x14ac:dyDescent="0.35">
      <c r="P972" s="15"/>
    </row>
    <row r="973" spans="16:16" ht="15.75" customHeight="1" x14ac:dyDescent="0.35">
      <c r="P973" s="15"/>
    </row>
    <row r="974" spans="16:16" ht="15.75" customHeight="1" x14ac:dyDescent="0.35">
      <c r="P974" s="15"/>
    </row>
    <row r="975" spans="16:16" ht="15.75" customHeight="1" x14ac:dyDescent="0.35">
      <c r="P975" s="15"/>
    </row>
    <row r="976" spans="16:16" ht="15.75" customHeight="1" x14ac:dyDescent="0.35">
      <c r="P976" s="15"/>
    </row>
    <row r="977" spans="16:16" ht="15.75" customHeight="1" x14ac:dyDescent="0.35">
      <c r="P977" s="15"/>
    </row>
    <row r="978" spans="16:16" ht="15.75" customHeight="1" x14ac:dyDescent="0.35">
      <c r="P978" s="15"/>
    </row>
    <row r="979" spans="16:16" ht="15.75" customHeight="1" x14ac:dyDescent="0.35">
      <c r="P979" s="15"/>
    </row>
    <row r="980" spans="16:16" ht="15.75" customHeight="1" x14ac:dyDescent="0.35">
      <c r="P980" s="15"/>
    </row>
    <row r="981" spans="16:16" ht="15.75" customHeight="1" x14ac:dyDescent="0.35">
      <c r="P981" s="15"/>
    </row>
    <row r="982" spans="16:16" ht="15.75" customHeight="1" x14ac:dyDescent="0.35">
      <c r="P982" s="15"/>
    </row>
    <row r="983" spans="16:16" ht="15.75" customHeight="1" x14ac:dyDescent="0.35">
      <c r="P983" s="15"/>
    </row>
    <row r="984" spans="16:16" ht="15.75" customHeight="1" x14ac:dyDescent="0.35">
      <c r="P984" s="15"/>
    </row>
    <row r="985" spans="16:16" ht="15.75" customHeight="1" x14ac:dyDescent="0.35">
      <c r="P985" s="15"/>
    </row>
    <row r="986" spans="16:16" ht="15.75" customHeight="1" x14ac:dyDescent="0.35">
      <c r="P986" s="15"/>
    </row>
    <row r="987" spans="16:16" ht="15.75" customHeight="1" x14ac:dyDescent="0.35">
      <c r="P987" s="15"/>
    </row>
    <row r="988" spans="16:16" ht="15.75" customHeight="1" x14ac:dyDescent="0.35">
      <c r="P988" s="15"/>
    </row>
    <row r="989" spans="16:16" ht="15.75" customHeight="1" x14ac:dyDescent="0.35">
      <c r="P989" s="15"/>
    </row>
    <row r="990" spans="16:16" ht="15.75" customHeight="1" x14ac:dyDescent="0.35">
      <c r="P990" s="15"/>
    </row>
    <row r="991" spans="16:16" ht="15.75" customHeight="1" x14ac:dyDescent="0.35">
      <c r="P991" s="15"/>
    </row>
    <row r="992" spans="16:16" ht="15.75" customHeight="1" x14ac:dyDescent="0.35">
      <c r="P992" s="15"/>
    </row>
    <row r="993" spans="16:16" ht="15.75" customHeight="1" x14ac:dyDescent="0.35">
      <c r="P993" s="15"/>
    </row>
    <row r="994" spans="16:16" ht="15.75" customHeight="1" x14ac:dyDescent="0.35">
      <c r="P994" s="15"/>
    </row>
    <row r="995" spans="16:16" ht="15.75" customHeight="1" x14ac:dyDescent="0.35">
      <c r="P995" s="15"/>
    </row>
    <row r="996" spans="16:16" ht="15.75" customHeight="1" x14ac:dyDescent="0.35">
      <c r="P996" s="15"/>
    </row>
    <row r="997" spans="16:16" ht="15.75" customHeight="1" x14ac:dyDescent="0.35">
      <c r="P997" s="15"/>
    </row>
    <row r="998" spans="16:16" ht="15.75" customHeight="1" x14ac:dyDescent="0.35">
      <c r="P998" s="15"/>
    </row>
    <row r="999" spans="16:16" ht="15.75" customHeight="1" x14ac:dyDescent="0.35">
      <c r="P999" s="15"/>
    </row>
    <row r="1000" spans="16:16" ht="15.75" customHeight="1" x14ac:dyDescent="0.35">
      <c r="P1000" s="15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2.6328125" defaultRowHeight="15" customHeight="1" x14ac:dyDescent="0.35"/>
  <cols>
    <col min="1" max="3" width="8.6328125" customWidth="1"/>
    <col min="4" max="5" width="15.453125" customWidth="1"/>
    <col min="6" max="6" width="8.6328125" customWidth="1"/>
    <col min="7" max="7" width="17.36328125" customWidth="1"/>
    <col min="8" max="9" width="16.453125" customWidth="1"/>
    <col min="10" max="10" width="20.453125" customWidth="1"/>
    <col min="11" max="11" width="24.453125" customWidth="1"/>
    <col min="12" max="12" width="16.453125" customWidth="1"/>
    <col min="13" max="13" width="19.453125" customWidth="1"/>
    <col min="14" max="14" width="30.08984375" customWidth="1"/>
    <col min="15" max="15" width="8.6328125" customWidth="1"/>
    <col min="16" max="16" width="16.453125" customWidth="1"/>
    <col min="17" max="26" width="8.63281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9</v>
      </c>
      <c r="H1" s="1" t="s">
        <v>21</v>
      </c>
      <c r="I1" s="13" t="s">
        <v>22</v>
      </c>
      <c r="J1" s="1" t="s">
        <v>23</v>
      </c>
      <c r="K1" s="1" t="s">
        <v>12</v>
      </c>
      <c r="L1" s="1" t="s">
        <v>13</v>
      </c>
      <c r="M1" s="14" t="s">
        <v>14</v>
      </c>
      <c r="N1" s="1" t="s">
        <v>24</v>
      </c>
      <c r="O1" s="1" t="s">
        <v>16</v>
      </c>
      <c r="P1" s="1" t="s">
        <v>25</v>
      </c>
      <c r="Q1" s="4"/>
      <c r="R1" s="4"/>
    </row>
    <row r="2" spans="1:18" ht="14.25" customHeight="1" x14ac:dyDescent="0.35">
      <c r="A2" s="5">
        <v>1</v>
      </c>
      <c r="B2" s="6">
        <v>1</v>
      </c>
      <c r="C2" s="5">
        <v>1</v>
      </c>
      <c r="D2" s="7">
        <v>5086</v>
      </c>
      <c r="E2" s="7"/>
      <c r="M2" s="11"/>
    </row>
    <row r="3" spans="1:18" ht="14.25" customHeight="1" x14ac:dyDescent="0.35">
      <c r="A3" s="5">
        <v>1</v>
      </c>
      <c r="B3" s="6">
        <v>2</v>
      </c>
      <c r="C3" s="5">
        <v>2</v>
      </c>
      <c r="D3" s="7">
        <v>10171</v>
      </c>
      <c r="E3" s="7"/>
      <c r="M3" s="11"/>
    </row>
    <row r="4" spans="1:18" ht="14.25" customHeight="1" x14ac:dyDescent="0.35">
      <c r="A4" s="5">
        <v>1</v>
      </c>
      <c r="B4" s="6">
        <v>3</v>
      </c>
      <c r="C4" s="5">
        <v>3</v>
      </c>
      <c r="D4" s="7">
        <v>6781</v>
      </c>
      <c r="E4" s="7"/>
      <c r="M4" s="11"/>
    </row>
    <row r="5" spans="1:18" ht="14.25" customHeight="1" x14ac:dyDescent="0.35">
      <c r="A5" s="5">
        <v>1</v>
      </c>
      <c r="B5" s="6">
        <v>4</v>
      </c>
      <c r="C5" s="5">
        <v>4</v>
      </c>
      <c r="D5" s="7">
        <v>11866</v>
      </c>
      <c r="E5" s="16">
        <f t="shared" ref="E5:E9" si="0">AVERAGE(D2:D5)</f>
        <v>8476</v>
      </c>
      <c r="M5" s="11"/>
    </row>
    <row r="6" spans="1:18" ht="14.25" customHeight="1" x14ac:dyDescent="0.35">
      <c r="A6" s="5">
        <v>2</v>
      </c>
      <c r="B6" s="6">
        <v>1</v>
      </c>
      <c r="C6" s="5">
        <v>5</v>
      </c>
      <c r="D6" s="7">
        <v>6438</v>
      </c>
      <c r="E6" s="16">
        <f t="shared" si="0"/>
        <v>8814</v>
      </c>
      <c r="F6" s="16">
        <f t="shared" ref="F6:F10" si="1">E5</f>
        <v>8476</v>
      </c>
      <c r="G6" s="16">
        <f t="shared" ref="G6:G9" si="2">F6-D6</f>
        <v>2038</v>
      </c>
      <c r="H6" s="18">
        <f t="shared" ref="H6:H9" si="3">ABS(G6)</f>
        <v>2038</v>
      </c>
      <c r="I6" s="19">
        <f t="shared" ref="I6:I9" si="4">G6^2</f>
        <v>4153444</v>
      </c>
      <c r="J6" s="18">
        <f t="shared" ref="J6:J9" si="5">AVERAGE($I$6:I6)</f>
        <v>4153444</v>
      </c>
      <c r="K6" s="18">
        <f t="shared" ref="K6:K9" si="6">AVERAGE($H$6:H6)</f>
        <v>2038</v>
      </c>
      <c r="L6" s="20">
        <f t="shared" ref="L6:L9" si="7">G6/D6</f>
        <v>0.3165579372475924</v>
      </c>
      <c r="M6" s="11">
        <f t="shared" ref="M6:M9" si="8">ABS(L6)</f>
        <v>0.3165579372475924</v>
      </c>
      <c r="N6" s="11">
        <f t="shared" ref="N6:N9" si="9">AVERAGE($M$6:M6)</f>
        <v>0.3165579372475924</v>
      </c>
      <c r="O6" s="21">
        <f>G6</f>
        <v>2038</v>
      </c>
      <c r="P6" s="18">
        <f t="shared" ref="P6:P9" si="10">O6/K6</f>
        <v>1</v>
      </c>
    </row>
    <row r="7" spans="1:18" ht="14.25" customHeight="1" x14ac:dyDescent="0.35">
      <c r="A7" s="5">
        <v>2</v>
      </c>
      <c r="B7" s="6">
        <v>2</v>
      </c>
      <c r="C7" s="5">
        <v>6</v>
      </c>
      <c r="D7" s="7">
        <v>12875</v>
      </c>
      <c r="E7" s="16">
        <f t="shared" si="0"/>
        <v>9490</v>
      </c>
      <c r="F7" s="16">
        <f t="shared" si="1"/>
        <v>8814</v>
      </c>
      <c r="G7" s="16">
        <f t="shared" si="2"/>
        <v>-4061</v>
      </c>
      <c r="H7" s="18">
        <f t="shared" si="3"/>
        <v>4061</v>
      </c>
      <c r="I7" s="19">
        <f t="shared" si="4"/>
        <v>16491721</v>
      </c>
      <c r="J7" s="18">
        <f t="shared" si="5"/>
        <v>10322582.5</v>
      </c>
      <c r="K7" s="18">
        <f t="shared" si="6"/>
        <v>3049.5</v>
      </c>
      <c r="L7" s="20">
        <f t="shared" si="7"/>
        <v>-0.31541747572815532</v>
      </c>
      <c r="M7" s="11">
        <f t="shared" si="8"/>
        <v>0.31541747572815532</v>
      </c>
      <c r="N7" s="11">
        <f t="shared" si="9"/>
        <v>0.31598770648787389</v>
      </c>
      <c r="O7" s="21">
        <f t="shared" ref="O7:O9" si="11">O6+G7</f>
        <v>-2023</v>
      </c>
      <c r="P7" s="18">
        <f t="shared" si="10"/>
        <v>-0.66338744056402688</v>
      </c>
    </row>
    <row r="8" spans="1:18" ht="14.25" customHeight="1" x14ac:dyDescent="0.35">
      <c r="A8" s="5">
        <v>2</v>
      </c>
      <c r="B8" s="6">
        <v>3</v>
      </c>
      <c r="C8" s="5">
        <v>7</v>
      </c>
      <c r="D8" s="7">
        <v>8583</v>
      </c>
      <c r="E8" s="16">
        <f t="shared" si="0"/>
        <v>9940.5</v>
      </c>
      <c r="F8" s="16">
        <f t="shared" si="1"/>
        <v>9490</v>
      </c>
      <c r="G8" s="16">
        <f t="shared" si="2"/>
        <v>907</v>
      </c>
      <c r="H8" s="18">
        <f t="shared" si="3"/>
        <v>907</v>
      </c>
      <c r="I8" s="19">
        <f t="shared" si="4"/>
        <v>822649</v>
      </c>
      <c r="J8" s="18">
        <f t="shared" si="5"/>
        <v>7155938</v>
      </c>
      <c r="K8" s="18">
        <f t="shared" si="6"/>
        <v>2335.3333333333335</v>
      </c>
      <c r="L8" s="20">
        <f t="shared" si="7"/>
        <v>0.10567400675754399</v>
      </c>
      <c r="M8" s="11">
        <f t="shared" si="8"/>
        <v>0.10567400675754399</v>
      </c>
      <c r="N8" s="11">
        <f t="shared" si="9"/>
        <v>0.24588313991109725</v>
      </c>
      <c r="O8" s="21">
        <f t="shared" si="11"/>
        <v>-1116</v>
      </c>
      <c r="P8" s="18">
        <f t="shared" si="10"/>
        <v>-0.47787610619469023</v>
      </c>
    </row>
    <row r="9" spans="1:18" ht="14.25" customHeight="1" x14ac:dyDescent="0.35">
      <c r="A9" s="5">
        <v>2</v>
      </c>
      <c r="B9" s="6">
        <v>4</v>
      </c>
      <c r="C9" s="5">
        <v>8</v>
      </c>
      <c r="D9" s="7">
        <v>15021</v>
      </c>
      <c r="E9" s="16">
        <f t="shared" si="0"/>
        <v>10729.25</v>
      </c>
      <c r="F9" s="16">
        <f t="shared" si="1"/>
        <v>9940.5</v>
      </c>
      <c r="G9" s="16">
        <f t="shared" si="2"/>
        <v>-5080.5</v>
      </c>
      <c r="H9" s="18">
        <f t="shared" si="3"/>
        <v>5080.5</v>
      </c>
      <c r="I9" s="19">
        <f t="shared" si="4"/>
        <v>25811480.25</v>
      </c>
      <c r="J9" s="18">
        <f t="shared" si="5"/>
        <v>11819823.5625</v>
      </c>
      <c r="K9" s="18">
        <f t="shared" si="6"/>
        <v>3021.625</v>
      </c>
      <c r="L9" s="20">
        <f t="shared" si="7"/>
        <v>-0.33822648292390656</v>
      </c>
      <c r="M9" s="11">
        <f t="shared" si="8"/>
        <v>0.33822648292390656</v>
      </c>
      <c r="N9" s="11">
        <f t="shared" si="9"/>
        <v>0.26896897566429956</v>
      </c>
      <c r="O9" s="21">
        <f t="shared" si="11"/>
        <v>-6196.5</v>
      </c>
      <c r="P9" s="18">
        <f t="shared" si="10"/>
        <v>-2.0507177429363339</v>
      </c>
    </row>
    <row r="10" spans="1:18" ht="14.25" customHeight="1" x14ac:dyDescent="0.35">
      <c r="A10" s="5">
        <v>3</v>
      </c>
      <c r="B10" s="6">
        <v>1</v>
      </c>
      <c r="C10" s="5">
        <v>9</v>
      </c>
      <c r="E10" s="19"/>
      <c r="F10" s="16">
        <f t="shared" si="1"/>
        <v>10729.25</v>
      </c>
      <c r="M10" s="11"/>
    </row>
    <row r="11" spans="1:18" ht="14.25" customHeight="1" x14ac:dyDescent="0.35">
      <c r="A11" s="5">
        <v>3</v>
      </c>
      <c r="B11" s="6">
        <v>2</v>
      </c>
      <c r="C11" s="5">
        <v>10</v>
      </c>
      <c r="E11" s="19"/>
      <c r="F11" s="22">
        <v>10729.25</v>
      </c>
      <c r="M11" s="11"/>
    </row>
    <row r="12" spans="1:18" ht="14.25" customHeight="1" x14ac:dyDescent="0.35">
      <c r="A12" s="5">
        <v>3</v>
      </c>
      <c r="B12" s="6">
        <v>3</v>
      </c>
      <c r="C12" s="5">
        <v>11</v>
      </c>
      <c r="E12" s="19"/>
      <c r="F12" s="22">
        <v>10729.25</v>
      </c>
      <c r="M12" s="11"/>
    </row>
    <row r="13" spans="1:18" ht="14.25" customHeight="1" x14ac:dyDescent="0.35">
      <c r="A13" s="5">
        <v>3</v>
      </c>
      <c r="B13" s="6">
        <v>4</v>
      </c>
      <c r="C13" s="5">
        <v>12</v>
      </c>
      <c r="E13" s="19"/>
      <c r="F13" s="22">
        <v>10729.25</v>
      </c>
      <c r="M13" s="11"/>
    </row>
    <row r="14" spans="1:18" ht="14.25" customHeight="1" x14ac:dyDescent="0.35">
      <c r="A14" s="5">
        <v>4</v>
      </c>
      <c r="B14" s="6">
        <v>1</v>
      </c>
      <c r="C14" s="5">
        <v>13</v>
      </c>
      <c r="E14" s="19"/>
      <c r="F14" s="22">
        <v>10729.25</v>
      </c>
      <c r="M14" s="11"/>
    </row>
    <row r="15" spans="1:18" ht="14.25" customHeight="1" x14ac:dyDescent="0.35">
      <c r="A15" s="5">
        <v>4</v>
      </c>
      <c r="B15" s="6">
        <v>2</v>
      </c>
      <c r="C15" s="5">
        <v>14</v>
      </c>
      <c r="E15" s="19"/>
      <c r="F15" s="22">
        <v>10729.25</v>
      </c>
      <c r="M15" s="11"/>
    </row>
    <row r="16" spans="1:18" ht="14.25" customHeight="1" x14ac:dyDescent="0.35">
      <c r="A16" s="5">
        <v>4</v>
      </c>
      <c r="B16" s="6">
        <v>3</v>
      </c>
      <c r="C16" s="5">
        <v>15</v>
      </c>
      <c r="E16" s="19"/>
      <c r="F16" s="22">
        <v>10729.25</v>
      </c>
      <c r="M16" s="11"/>
    </row>
    <row r="17" spans="1:13" ht="14.25" customHeight="1" x14ac:dyDescent="0.35">
      <c r="A17" s="5">
        <v>4</v>
      </c>
      <c r="B17" s="6">
        <v>4</v>
      </c>
      <c r="C17" s="5">
        <v>16</v>
      </c>
      <c r="E17" s="19"/>
      <c r="F17" s="22">
        <v>10729.25</v>
      </c>
      <c r="M17" s="11"/>
    </row>
    <row r="18" spans="1:13" ht="14.25" customHeight="1" x14ac:dyDescent="0.35">
      <c r="M18" s="11"/>
    </row>
    <row r="19" spans="1:13" ht="14.25" customHeight="1" x14ac:dyDescent="0.35">
      <c r="M19" s="11"/>
    </row>
    <row r="20" spans="1:13" ht="14.25" customHeight="1" x14ac:dyDescent="0.35">
      <c r="M20" s="11"/>
    </row>
    <row r="21" spans="1:13" ht="14.25" customHeight="1" x14ac:dyDescent="0.35">
      <c r="M21" s="11"/>
    </row>
    <row r="22" spans="1:13" ht="14.25" customHeight="1" x14ac:dyDescent="0.35">
      <c r="M22" s="11"/>
    </row>
    <row r="23" spans="1:13" ht="14.25" customHeight="1" x14ac:dyDescent="0.35">
      <c r="M23" s="11"/>
    </row>
    <row r="24" spans="1:13" ht="14.25" customHeight="1" x14ac:dyDescent="0.35">
      <c r="M24" s="11"/>
    </row>
    <row r="25" spans="1:13" ht="14.25" customHeight="1" x14ac:dyDescent="0.35">
      <c r="M25" s="11"/>
    </row>
    <row r="26" spans="1:13" ht="14.25" customHeight="1" x14ac:dyDescent="0.35">
      <c r="M26" s="11"/>
    </row>
    <row r="27" spans="1:13" ht="14.25" customHeight="1" x14ac:dyDescent="0.35">
      <c r="M27" s="11"/>
    </row>
    <row r="28" spans="1:13" ht="14.25" customHeight="1" x14ac:dyDescent="0.35">
      <c r="M28" s="11"/>
    </row>
    <row r="29" spans="1:13" ht="14.25" customHeight="1" x14ac:dyDescent="0.35">
      <c r="M29" s="11"/>
    </row>
    <row r="30" spans="1:13" ht="14.25" customHeight="1" x14ac:dyDescent="0.35">
      <c r="M30" s="11"/>
    </row>
    <row r="31" spans="1:13" ht="14.25" customHeight="1" x14ac:dyDescent="0.35">
      <c r="M31" s="11"/>
    </row>
    <row r="32" spans="1:13" ht="14.25" customHeight="1" x14ac:dyDescent="0.35">
      <c r="M32" s="11"/>
    </row>
    <row r="33" spans="13:13" ht="14.25" customHeight="1" x14ac:dyDescent="0.35">
      <c r="M33" s="11"/>
    </row>
    <row r="34" spans="13:13" ht="14.25" customHeight="1" x14ac:dyDescent="0.35">
      <c r="M34" s="11"/>
    </row>
    <row r="35" spans="13:13" ht="14.25" customHeight="1" x14ac:dyDescent="0.35">
      <c r="M35" s="11"/>
    </row>
    <row r="36" spans="13:13" ht="14.25" customHeight="1" x14ac:dyDescent="0.35">
      <c r="M36" s="11"/>
    </row>
    <row r="37" spans="13:13" ht="14.25" customHeight="1" x14ac:dyDescent="0.35">
      <c r="M37" s="11"/>
    </row>
    <row r="38" spans="13:13" ht="14.25" customHeight="1" x14ac:dyDescent="0.35">
      <c r="M38" s="11"/>
    </row>
    <row r="39" spans="13:13" ht="14.25" customHeight="1" x14ac:dyDescent="0.35">
      <c r="M39" s="11"/>
    </row>
    <row r="40" spans="13:13" ht="14.25" customHeight="1" x14ac:dyDescent="0.35">
      <c r="M40" s="11"/>
    </row>
    <row r="41" spans="13:13" ht="14.25" customHeight="1" x14ac:dyDescent="0.35">
      <c r="M41" s="11"/>
    </row>
    <row r="42" spans="13:13" ht="14.25" customHeight="1" x14ac:dyDescent="0.35">
      <c r="M42" s="11"/>
    </row>
    <row r="43" spans="13:13" ht="14.25" customHeight="1" x14ac:dyDescent="0.35">
      <c r="M43" s="11"/>
    </row>
    <row r="44" spans="13:13" ht="14.25" customHeight="1" x14ac:dyDescent="0.35">
      <c r="M44" s="11"/>
    </row>
    <row r="45" spans="13:13" ht="14.25" customHeight="1" x14ac:dyDescent="0.35">
      <c r="M45" s="11"/>
    </row>
    <row r="46" spans="13:13" ht="14.25" customHeight="1" x14ac:dyDescent="0.35">
      <c r="M46" s="11"/>
    </row>
    <row r="47" spans="13:13" ht="14.25" customHeight="1" x14ac:dyDescent="0.35">
      <c r="M47" s="11"/>
    </row>
    <row r="48" spans="13:13" ht="14.25" customHeight="1" x14ac:dyDescent="0.35">
      <c r="M48" s="11"/>
    </row>
    <row r="49" spans="13:13" ht="14.25" customHeight="1" x14ac:dyDescent="0.35">
      <c r="M49" s="11"/>
    </row>
    <row r="50" spans="13:13" ht="14.25" customHeight="1" x14ac:dyDescent="0.35">
      <c r="M50" s="11"/>
    </row>
    <row r="51" spans="13:13" ht="14.25" customHeight="1" x14ac:dyDescent="0.35">
      <c r="M51" s="11"/>
    </row>
    <row r="52" spans="13:13" ht="14.25" customHeight="1" x14ac:dyDescent="0.35">
      <c r="M52" s="11"/>
    </row>
    <row r="53" spans="13:13" ht="14.25" customHeight="1" x14ac:dyDescent="0.35">
      <c r="M53" s="11"/>
    </row>
    <row r="54" spans="13:13" ht="14.25" customHeight="1" x14ac:dyDescent="0.35">
      <c r="M54" s="11"/>
    </row>
    <row r="55" spans="13:13" ht="14.25" customHeight="1" x14ac:dyDescent="0.35">
      <c r="M55" s="11"/>
    </row>
    <row r="56" spans="13:13" ht="14.25" customHeight="1" x14ac:dyDescent="0.35">
      <c r="M56" s="11"/>
    </row>
    <row r="57" spans="13:13" ht="14.25" customHeight="1" x14ac:dyDescent="0.35">
      <c r="M57" s="11"/>
    </row>
    <row r="58" spans="13:13" ht="14.25" customHeight="1" x14ac:dyDescent="0.35">
      <c r="M58" s="11"/>
    </row>
    <row r="59" spans="13:13" ht="14.25" customHeight="1" x14ac:dyDescent="0.35">
      <c r="M59" s="11"/>
    </row>
    <row r="60" spans="13:13" ht="14.25" customHeight="1" x14ac:dyDescent="0.35">
      <c r="M60" s="11"/>
    </row>
    <row r="61" spans="13:13" ht="14.25" customHeight="1" x14ac:dyDescent="0.35">
      <c r="M61" s="11"/>
    </row>
    <row r="62" spans="13:13" ht="14.25" customHeight="1" x14ac:dyDescent="0.35">
      <c r="M62" s="11"/>
    </row>
    <row r="63" spans="13:13" ht="14.25" customHeight="1" x14ac:dyDescent="0.35">
      <c r="M63" s="11"/>
    </row>
    <row r="64" spans="13:13" ht="14.25" customHeight="1" x14ac:dyDescent="0.35">
      <c r="M64" s="11"/>
    </row>
    <row r="65" spans="13:13" ht="14.25" customHeight="1" x14ac:dyDescent="0.35">
      <c r="M65" s="11"/>
    </row>
    <row r="66" spans="13:13" ht="14.25" customHeight="1" x14ac:dyDescent="0.35">
      <c r="M66" s="11"/>
    </row>
    <row r="67" spans="13:13" ht="14.25" customHeight="1" x14ac:dyDescent="0.35">
      <c r="M67" s="11"/>
    </row>
    <row r="68" spans="13:13" ht="14.25" customHeight="1" x14ac:dyDescent="0.35">
      <c r="M68" s="11"/>
    </row>
    <row r="69" spans="13:13" ht="14.25" customHeight="1" x14ac:dyDescent="0.35">
      <c r="M69" s="11"/>
    </row>
    <row r="70" spans="13:13" ht="14.25" customHeight="1" x14ac:dyDescent="0.35">
      <c r="M70" s="11"/>
    </row>
    <row r="71" spans="13:13" ht="14.25" customHeight="1" x14ac:dyDescent="0.35">
      <c r="M71" s="11"/>
    </row>
    <row r="72" spans="13:13" ht="14.25" customHeight="1" x14ac:dyDescent="0.35">
      <c r="M72" s="11"/>
    </row>
    <row r="73" spans="13:13" ht="14.25" customHeight="1" x14ac:dyDescent="0.35">
      <c r="M73" s="11"/>
    </row>
    <row r="74" spans="13:13" ht="14.25" customHeight="1" x14ac:dyDescent="0.35">
      <c r="M74" s="11"/>
    </row>
    <row r="75" spans="13:13" ht="14.25" customHeight="1" x14ac:dyDescent="0.35">
      <c r="M75" s="11"/>
    </row>
    <row r="76" spans="13:13" ht="14.25" customHeight="1" x14ac:dyDescent="0.35">
      <c r="M76" s="11"/>
    </row>
    <row r="77" spans="13:13" ht="14.25" customHeight="1" x14ac:dyDescent="0.35">
      <c r="M77" s="11"/>
    </row>
    <row r="78" spans="13:13" ht="14.25" customHeight="1" x14ac:dyDescent="0.35">
      <c r="M78" s="11"/>
    </row>
    <row r="79" spans="13:13" ht="14.25" customHeight="1" x14ac:dyDescent="0.35">
      <c r="M79" s="11"/>
    </row>
    <row r="80" spans="13:13" ht="14.25" customHeight="1" x14ac:dyDescent="0.35">
      <c r="M80" s="11"/>
    </row>
    <row r="81" spans="13:13" ht="14.25" customHeight="1" x14ac:dyDescent="0.35">
      <c r="M81" s="11"/>
    </row>
    <row r="82" spans="13:13" ht="14.25" customHeight="1" x14ac:dyDescent="0.35">
      <c r="M82" s="11"/>
    </row>
    <row r="83" spans="13:13" ht="14.25" customHeight="1" x14ac:dyDescent="0.35">
      <c r="M83" s="11"/>
    </row>
    <row r="84" spans="13:13" ht="14.25" customHeight="1" x14ac:dyDescent="0.35">
      <c r="M84" s="11"/>
    </row>
    <row r="85" spans="13:13" ht="14.25" customHeight="1" x14ac:dyDescent="0.35">
      <c r="M85" s="11"/>
    </row>
    <row r="86" spans="13:13" ht="14.25" customHeight="1" x14ac:dyDescent="0.35">
      <c r="M86" s="11"/>
    </row>
    <row r="87" spans="13:13" ht="14.25" customHeight="1" x14ac:dyDescent="0.35">
      <c r="M87" s="11"/>
    </row>
    <row r="88" spans="13:13" ht="14.25" customHeight="1" x14ac:dyDescent="0.35">
      <c r="M88" s="11"/>
    </row>
    <row r="89" spans="13:13" ht="14.25" customHeight="1" x14ac:dyDescent="0.35">
      <c r="M89" s="11"/>
    </row>
    <row r="90" spans="13:13" ht="14.25" customHeight="1" x14ac:dyDescent="0.35">
      <c r="M90" s="11"/>
    </row>
    <row r="91" spans="13:13" ht="14.25" customHeight="1" x14ac:dyDescent="0.35">
      <c r="M91" s="11"/>
    </row>
    <row r="92" spans="13:13" ht="14.25" customHeight="1" x14ac:dyDescent="0.35">
      <c r="M92" s="11"/>
    </row>
    <row r="93" spans="13:13" ht="14.25" customHeight="1" x14ac:dyDescent="0.35">
      <c r="M93" s="11"/>
    </row>
    <row r="94" spans="13:13" ht="14.25" customHeight="1" x14ac:dyDescent="0.35">
      <c r="M94" s="11"/>
    </row>
    <row r="95" spans="13:13" ht="14.25" customHeight="1" x14ac:dyDescent="0.35">
      <c r="M95" s="11"/>
    </row>
    <row r="96" spans="13:13" ht="14.25" customHeight="1" x14ac:dyDescent="0.35">
      <c r="M96" s="11"/>
    </row>
    <row r="97" spans="13:13" ht="14.25" customHeight="1" x14ac:dyDescent="0.35">
      <c r="M97" s="11"/>
    </row>
    <row r="98" spans="13:13" ht="14.25" customHeight="1" x14ac:dyDescent="0.35">
      <c r="M98" s="11"/>
    </row>
    <row r="99" spans="13:13" ht="14.25" customHeight="1" x14ac:dyDescent="0.35">
      <c r="M99" s="11"/>
    </row>
    <row r="100" spans="13:13" ht="14.25" customHeight="1" x14ac:dyDescent="0.35">
      <c r="M100" s="11"/>
    </row>
    <row r="101" spans="13:13" ht="14.25" customHeight="1" x14ac:dyDescent="0.35">
      <c r="M101" s="11"/>
    </row>
    <row r="102" spans="13:13" ht="14.25" customHeight="1" x14ac:dyDescent="0.35">
      <c r="M102" s="11"/>
    </row>
    <row r="103" spans="13:13" ht="14.25" customHeight="1" x14ac:dyDescent="0.35">
      <c r="M103" s="11"/>
    </row>
    <row r="104" spans="13:13" ht="14.25" customHeight="1" x14ac:dyDescent="0.35">
      <c r="M104" s="11"/>
    </row>
    <row r="105" spans="13:13" ht="14.25" customHeight="1" x14ac:dyDescent="0.35">
      <c r="M105" s="11"/>
    </row>
    <row r="106" spans="13:13" ht="14.25" customHeight="1" x14ac:dyDescent="0.35">
      <c r="M106" s="11"/>
    </row>
    <row r="107" spans="13:13" ht="14.25" customHeight="1" x14ac:dyDescent="0.35">
      <c r="M107" s="11"/>
    </row>
    <row r="108" spans="13:13" ht="14.25" customHeight="1" x14ac:dyDescent="0.35">
      <c r="M108" s="11"/>
    </row>
    <row r="109" spans="13:13" ht="14.25" customHeight="1" x14ac:dyDescent="0.35">
      <c r="M109" s="11"/>
    </row>
    <row r="110" spans="13:13" ht="14.25" customHeight="1" x14ac:dyDescent="0.35">
      <c r="M110" s="11"/>
    </row>
    <row r="111" spans="13:13" ht="14.25" customHeight="1" x14ac:dyDescent="0.35">
      <c r="M111" s="11"/>
    </row>
    <row r="112" spans="13:13" ht="14.25" customHeight="1" x14ac:dyDescent="0.35">
      <c r="M112" s="11"/>
    </row>
    <row r="113" spans="13:13" ht="14.25" customHeight="1" x14ac:dyDescent="0.35">
      <c r="M113" s="11"/>
    </row>
    <row r="114" spans="13:13" ht="14.25" customHeight="1" x14ac:dyDescent="0.35">
      <c r="M114" s="11"/>
    </row>
    <row r="115" spans="13:13" ht="14.25" customHeight="1" x14ac:dyDescent="0.35">
      <c r="M115" s="11"/>
    </row>
    <row r="116" spans="13:13" ht="14.25" customHeight="1" x14ac:dyDescent="0.35">
      <c r="M116" s="11"/>
    </row>
    <row r="117" spans="13:13" ht="14.25" customHeight="1" x14ac:dyDescent="0.35">
      <c r="M117" s="11"/>
    </row>
    <row r="118" spans="13:13" ht="14.25" customHeight="1" x14ac:dyDescent="0.35">
      <c r="M118" s="11"/>
    </row>
    <row r="119" spans="13:13" ht="14.25" customHeight="1" x14ac:dyDescent="0.35">
      <c r="M119" s="11"/>
    </row>
    <row r="120" spans="13:13" ht="14.25" customHeight="1" x14ac:dyDescent="0.35">
      <c r="M120" s="11"/>
    </row>
    <row r="121" spans="13:13" ht="14.25" customHeight="1" x14ac:dyDescent="0.35">
      <c r="M121" s="11"/>
    </row>
    <row r="122" spans="13:13" ht="14.25" customHeight="1" x14ac:dyDescent="0.35">
      <c r="M122" s="11"/>
    </row>
    <row r="123" spans="13:13" ht="14.25" customHeight="1" x14ac:dyDescent="0.35">
      <c r="M123" s="11"/>
    </row>
    <row r="124" spans="13:13" ht="14.25" customHeight="1" x14ac:dyDescent="0.35">
      <c r="M124" s="11"/>
    </row>
    <row r="125" spans="13:13" ht="14.25" customHeight="1" x14ac:dyDescent="0.35">
      <c r="M125" s="11"/>
    </row>
    <row r="126" spans="13:13" ht="14.25" customHeight="1" x14ac:dyDescent="0.35">
      <c r="M126" s="11"/>
    </row>
    <row r="127" spans="13:13" ht="14.25" customHeight="1" x14ac:dyDescent="0.35">
      <c r="M127" s="11"/>
    </row>
    <row r="128" spans="13:13" ht="14.25" customHeight="1" x14ac:dyDescent="0.35">
      <c r="M128" s="11"/>
    </row>
    <row r="129" spans="13:13" ht="14.25" customHeight="1" x14ac:dyDescent="0.35">
      <c r="M129" s="11"/>
    </row>
    <row r="130" spans="13:13" ht="14.25" customHeight="1" x14ac:dyDescent="0.35">
      <c r="M130" s="11"/>
    </row>
    <row r="131" spans="13:13" ht="14.25" customHeight="1" x14ac:dyDescent="0.35">
      <c r="M131" s="11"/>
    </row>
    <row r="132" spans="13:13" ht="14.25" customHeight="1" x14ac:dyDescent="0.35">
      <c r="M132" s="11"/>
    </row>
    <row r="133" spans="13:13" ht="14.25" customHeight="1" x14ac:dyDescent="0.35">
      <c r="M133" s="11"/>
    </row>
    <row r="134" spans="13:13" ht="14.25" customHeight="1" x14ac:dyDescent="0.35">
      <c r="M134" s="11"/>
    </row>
    <row r="135" spans="13:13" ht="14.25" customHeight="1" x14ac:dyDescent="0.35">
      <c r="M135" s="11"/>
    </row>
    <row r="136" spans="13:13" ht="14.25" customHeight="1" x14ac:dyDescent="0.35">
      <c r="M136" s="11"/>
    </row>
    <row r="137" spans="13:13" ht="14.25" customHeight="1" x14ac:dyDescent="0.35">
      <c r="M137" s="11"/>
    </row>
    <row r="138" spans="13:13" ht="14.25" customHeight="1" x14ac:dyDescent="0.35">
      <c r="M138" s="11"/>
    </row>
    <row r="139" spans="13:13" ht="14.25" customHeight="1" x14ac:dyDescent="0.35">
      <c r="M139" s="11"/>
    </row>
    <row r="140" spans="13:13" ht="14.25" customHeight="1" x14ac:dyDescent="0.35">
      <c r="M140" s="11"/>
    </row>
    <row r="141" spans="13:13" ht="14.25" customHeight="1" x14ac:dyDescent="0.35">
      <c r="M141" s="11"/>
    </row>
    <row r="142" spans="13:13" ht="14.25" customHeight="1" x14ac:dyDescent="0.35">
      <c r="M142" s="11"/>
    </row>
    <row r="143" spans="13:13" ht="14.25" customHeight="1" x14ac:dyDescent="0.35">
      <c r="M143" s="11"/>
    </row>
    <row r="144" spans="13:13" ht="14.25" customHeight="1" x14ac:dyDescent="0.35">
      <c r="M144" s="11"/>
    </row>
    <row r="145" spans="13:13" ht="14.25" customHeight="1" x14ac:dyDescent="0.35">
      <c r="M145" s="11"/>
    </row>
    <row r="146" spans="13:13" ht="14.25" customHeight="1" x14ac:dyDescent="0.35">
      <c r="M146" s="11"/>
    </row>
    <row r="147" spans="13:13" ht="14.25" customHeight="1" x14ac:dyDescent="0.35">
      <c r="M147" s="11"/>
    </row>
    <row r="148" spans="13:13" ht="14.25" customHeight="1" x14ac:dyDescent="0.35">
      <c r="M148" s="11"/>
    </row>
    <row r="149" spans="13:13" ht="14.25" customHeight="1" x14ac:dyDescent="0.35">
      <c r="M149" s="11"/>
    </row>
    <row r="150" spans="13:13" ht="14.25" customHeight="1" x14ac:dyDescent="0.35">
      <c r="M150" s="11"/>
    </row>
    <row r="151" spans="13:13" ht="14.25" customHeight="1" x14ac:dyDescent="0.35">
      <c r="M151" s="11"/>
    </row>
    <row r="152" spans="13:13" ht="14.25" customHeight="1" x14ac:dyDescent="0.35">
      <c r="M152" s="11"/>
    </row>
    <row r="153" spans="13:13" ht="14.25" customHeight="1" x14ac:dyDescent="0.35">
      <c r="M153" s="11"/>
    </row>
    <row r="154" spans="13:13" ht="14.25" customHeight="1" x14ac:dyDescent="0.35">
      <c r="M154" s="11"/>
    </row>
    <row r="155" spans="13:13" ht="14.25" customHeight="1" x14ac:dyDescent="0.35">
      <c r="M155" s="11"/>
    </row>
    <row r="156" spans="13:13" ht="14.25" customHeight="1" x14ac:dyDescent="0.35">
      <c r="M156" s="11"/>
    </row>
    <row r="157" spans="13:13" ht="14.25" customHeight="1" x14ac:dyDescent="0.35">
      <c r="M157" s="11"/>
    </row>
    <row r="158" spans="13:13" ht="14.25" customHeight="1" x14ac:dyDescent="0.35">
      <c r="M158" s="11"/>
    </row>
    <row r="159" spans="13:13" ht="14.25" customHeight="1" x14ac:dyDescent="0.35">
      <c r="M159" s="11"/>
    </row>
    <row r="160" spans="13:13" ht="14.25" customHeight="1" x14ac:dyDescent="0.35">
      <c r="M160" s="11"/>
    </row>
    <row r="161" spans="13:13" ht="14.25" customHeight="1" x14ac:dyDescent="0.35">
      <c r="M161" s="11"/>
    </row>
    <row r="162" spans="13:13" ht="14.25" customHeight="1" x14ac:dyDescent="0.35">
      <c r="M162" s="11"/>
    </row>
    <row r="163" spans="13:13" ht="14.25" customHeight="1" x14ac:dyDescent="0.35">
      <c r="M163" s="11"/>
    </row>
    <row r="164" spans="13:13" ht="14.25" customHeight="1" x14ac:dyDescent="0.35">
      <c r="M164" s="11"/>
    </row>
    <row r="165" spans="13:13" ht="14.25" customHeight="1" x14ac:dyDescent="0.35">
      <c r="M165" s="11"/>
    </row>
    <row r="166" spans="13:13" ht="14.25" customHeight="1" x14ac:dyDescent="0.35">
      <c r="M166" s="11"/>
    </row>
    <row r="167" spans="13:13" ht="14.25" customHeight="1" x14ac:dyDescent="0.35">
      <c r="M167" s="11"/>
    </row>
    <row r="168" spans="13:13" ht="14.25" customHeight="1" x14ac:dyDescent="0.35">
      <c r="M168" s="11"/>
    </row>
    <row r="169" spans="13:13" ht="14.25" customHeight="1" x14ac:dyDescent="0.35">
      <c r="M169" s="11"/>
    </row>
    <row r="170" spans="13:13" ht="14.25" customHeight="1" x14ac:dyDescent="0.35">
      <c r="M170" s="11"/>
    </row>
    <row r="171" spans="13:13" ht="14.25" customHeight="1" x14ac:dyDescent="0.35">
      <c r="M171" s="11"/>
    </row>
    <row r="172" spans="13:13" ht="14.25" customHeight="1" x14ac:dyDescent="0.35">
      <c r="M172" s="11"/>
    </row>
    <row r="173" spans="13:13" ht="14.25" customHeight="1" x14ac:dyDescent="0.35">
      <c r="M173" s="11"/>
    </row>
    <row r="174" spans="13:13" ht="14.25" customHeight="1" x14ac:dyDescent="0.35">
      <c r="M174" s="11"/>
    </row>
    <row r="175" spans="13:13" ht="14.25" customHeight="1" x14ac:dyDescent="0.35">
      <c r="M175" s="11"/>
    </row>
    <row r="176" spans="13:13" ht="14.25" customHeight="1" x14ac:dyDescent="0.35">
      <c r="M176" s="11"/>
    </row>
    <row r="177" spans="13:13" ht="14.25" customHeight="1" x14ac:dyDescent="0.35">
      <c r="M177" s="11"/>
    </row>
    <row r="178" spans="13:13" ht="14.25" customHeight="1" x14ac:dyDescent="0.35">
      <c r="M178" s="11"/>
    </row>
    <row r="179" spans="13:13" ht="14.25" customHeight="1" x14ac:dyDescent="0.35">
      <c r="M179" s="11"/>
    </row>
    <row r="180" spans="13:13" ht="14.25" customHeight="1" x14ac:dyDescent="0.35">
      <c r="M180" s="11"/>
    </row>
    <row r="181" spans="13:13" ht="14.25" customHeight="1" x14ac:dyDescent="0.35">
      <c r="M181" s="11"/>
    </row>
    <row r="182" spans="13:13" ht="14.25" customHeight="1" x14ac:dyDescent="0.35">
      <c r="M182" s="11"/>
    </row>
    <row r="183" spans="13:13" ht="14.25" customHeight="1" x14ac:dyDescent="0.35">
      <c r="M183" s="11"/>
    </row>
    <row r="184" spans="13:13" ht="14.25" customHeight="1" x14ac:dyDescent="0.35">
      <c r="M184" s="11"/>
    </row>
    <row r="185" spans="13:13" ht="14.25" customHeight="1" x14ac:dyDescent="0.35">
      <c r="M185" s="11"/>
    </row>
    <row r="186" spans="13:13" ht="14.25" customHeight="1" x14ac:dyDescent="0.35">
      <c r="M186" s="11"/>
    </row>
    <row r="187" spans="13:13" ht="14.25" customHeight="1" x14ac:dyDescent="0.35">
      <c r="M187" s="11"/>
    </row>
    <row r="188" spans="13:13" ht="14.25" customHeight="1" x14ac:dyDescent="0.35">
      <c r="M188" s="11"/>
    </row>
    <row r="189" spans="13:13" ht="14.25" customHeight="1" x14ac:dyDescent="0.35">
      <c r="M189" s="11"/>
    </row>
    <row r="190" spans="13:13" ht="14.25" customHeight="1" x14ac:dyDescent="0.35">
      <c r="M190" s="11"/>
    </row>
    <row r="191" spans="13:13" ht="14.25" customHeight="1" x14ac:dyDescent="0.35">
      <c r="M191" s="11"/>
    </row>
    <row r="192" spans="13:13" ht="14.25" customHeight="1" x14ac:dyDescent="0.35">
      <c r="M192" s="11"/>
    </row>
    <row r="193" spans="13:13" ht="14.25" customHeight="1" x14ac:dyDescent="0.35">
      <c r="M193" s="11"/>
    </row>
    <row r="194" spans="13:13" ht="14.25" customHeight="1" x14ac:dyDescent="0.35">
      <c r="M194" s="11"/>
    </row>
    <row r="195" spans="13:13" ht="14.25" customHeight="1" x14ac:dyDescent="0.35">
      <c r="M195" s="11"/>
    </row>
    <row r="196" spans="13:13" ht="14.25" customHeight="1" x14ac:dyDescent="0.35">
      <c r="M196" s="11"/>
    </row>
    <row r="197" spans="13:13" ht="14.25" customHeight="1" x14ac:dyDescent="0.35">
      <c r="M197" s="11"/>
    </row>
    <row r="198" spans="13:13" ht="14.25" customHeight="1" x14ac:dyDescent="0.35">
      <c r="M198" s="11"/>
    </row>
    <row r="199" spans="13:13" ht="14.25" customHeight="1" x14ac:dyDescent="0.35">
      <c r="M199" s="11"/>
    </row>
    <row r="200" spans="13:13" ht="14.25" customHeight="1" x14ac:dyDescent="0.35">
      <c r="M200" s="11"/>
    </row>
    <row r="201" spans="13:13" ht="14.25" customHeight="1" x14ac:dyDescent="0.35">
      <c r="M201" s="11"/>
    </row>
    <row r="202" spans="13:13" ht="14.25" customHeight="1" x14ac:dyDescent="0.35">
      <c r="M202" s="11"/>
    </row>
    <row r="203" spans="13:13" ht="14.25" customHeight="1" x14ac:dyDescent="0.35">
      <c r="M203" s="11"/>
    </row>
    <row r="204" spans="13:13" ht="14.25" customHeight="1" x14ac:dyDescent="0.35">
      <c r="M204" s="11"/>
    </row>
    <row r="205" spans="13:13" ht="14.25" customHeight="1" x14ac:dyDescent="0.35">
      <c r="M205" s="11"/>
    </row>
    <row r="206" spans="13:13" ht="14.25" customHeight="1" x14ac:dyDescent="0.35">
      <c r="M206" s="11"/>
    </row>
    <row r="207" spans="13:13" ht="14.25" customHeight="1" x14ac:dyDescent="0.35">
      <c r="M207" s="11"/>
    </row>
    <row r="208" spans="13:13" ht="14.25" customHeight="1" x14ac:dyDescent="0.35">
      <c r="M208" s="11"/>
    </row>
    <row r="209" spans="13:13" ht="14.25" customHeight="1" x14ac:dyDescent="0.35">
      <c r="M209" s="11"/>
    </row>
    <row r="210" spans="13:13" ht="14.25" customHeight="1" x14ac:dyDescent="0.35">
      <c r="M210" s="11"/>
    </row>
    <row r="211" spans="13:13" ht="14.25" customHeight="1" x14ac:dyDescent="0.35">
      <c r="M211" s="11"/>
    </row>
    <row r="212" spans="13:13" ht="14.25" customHeight="1" x14ac:dyDescent="0.35">
      <c r="M212" s="11"/>
    </row>
    <row r="213" spans="13:13" ht="14.25" customHeight="1" x14ac:dyDescent="0.35">
      <c r="M213" s="11"/>
    </row>
    <row r="214" spans="13:13" ht="14.25" customHeight="1" x14ac:dyDescent="0.35">
      <c r="M214" s="11"/>
    </row>
    <row r="215" spans="13:13" ht="14.25" customHeight="1" x14ac:dyDescent="0.35">
      <c r="M215" s="11"/>
    </row>
    <row r="216" spans="13:13" ht="14.25" customHeight="1" x14ac:dyDescent="0.35">
      <c r="M216" s="11"/>
    </row>
    <row r="217" spans="13:13" ht="14.25" customHeight="1" x14ac:dyDescent="0.35">
      <c r="M217" s="11"/>
    </row>
    <row r="218" spans="13:13" ht="14.25" customHeight="1" x14ac:dyDescent="0.35">
      <c r="M218" s="11"/>
    </row>
    <row r="219" spans="13:13" ht="14.25" customHeight="1" x14ac:dyDescent="0.35">
      <c r="M219" s="11"/>
    </row>
    <row r="220" spans="13:13" ht="14.25" customHeight="1" x14ac:dyDescent="0.35">
      <c r="M220" s="11"/>
    </row>
    <row r="221" spans="13:13" ht="14.25" customHeight="1" x14ac:dyDescent="0.35">
      <c r="M221" s="11"/>
    </row>
    <row r="222" spans="13:13" ht="14.25" customHeight="1" x14ac:dyDescent="0.35">
      <c r="M222" s="11"/>
    </row>
    <row r="223" spans="13:13" ht="14.25" customHeight="1" x14ac:dyDescent="0.35">
      <c r="M223" s="11"/>
    </row>
    <row r="224" spans="13:13" ht="14.25" customHeight="1" x14ac:dyDescent="0.35">
      <c r="M224" s="11"/>
    </row>
    <row r="225" spans="13:13" ht="14.25" customHeight="1" x14ac:dyDescent="0.35">
      <c r="M225" s="11"/>
    </row>
    <row r="226" spans="13:13" ht="14.25" customHeight="1" x14ac:dyDescent="0.35">
      <c r="M226" s="11"/>
    </row>
    <row r="227" spans="13:13" ht="14.25" customHeight="1" x14ac:dyDescent="0.35">
      <c r="M227" s="11"/>
    </row>
    <row r="228" spans="13:13" ht="14.25" customHeight="1" x14ac:dyDescent="0.35">
      <c r="M228" s="11"/>
    </row>
    <row r="229" spans="13:13" ht="14.25" customHeight="1" x14ac:dyDescent="0.35">
      <c r="M229" s="11"/>
    </row>
    <row r="230" spans="13:13" ht="14.25" customHeight="1" x14ac:dyDescent="0.35">
      <c r="M230" s="11"/>
    </row>
    <row r="231" spans="13:13" ht="14.25" customHeight="1" x14ac:dyDescent="0.35">
      <c r="M231" s="11"/>
    </row>
    <row r="232" spans="13:13" ht="14.25" customHeight="1" x14ac:dyDescent="0.35">
      <c r="M232" s="11"/>
    </row>
    <row r="233" spans="13:13" ht="14.25" customHeight="1" x14ac:dyDescent="0.35">
      <c r="M233" s="11"/>
    </row>
    <row r="234" spans="13:13" ht="14.25" customHeight="1" x14ac:dyDescent="0.35">
      <c r="M234" s="11"/>
    </row>
    <row r="235" spans="13:13" ht="14.25" customHeight="1" x14ac:dyDescent="0.35">
      <c r="M235" s="11"/>
    </row>
    <row r="236" spans="13:13" ht="14.25" customHeight="1" x14ac:dyDescent="0.35">
      <c r="M236" s="11"/>
    </row>
    <row r="237" spans="13:13" ht="14.25" customHeight="1" x14ac:dyDescent="0.35">
      <c r="M237" s="11"/>
    </row>
    <row r="238" spans="13:13" ht="14.25" customHeight="1" x14ac:dyDescent="0.35">
      <c r="M238" s="11"/>
    </row>
    <row r="239" spans="13:13" ht="14.25" customHeight="1" x14ac:dyDescent="0.35">
      <c r="M239" s="11"/>
    </row>
    <row r="240" spans="13:13" ht="14.25" customHeight="1" x14ac:dyDescent="0.35">
      <c r="M240" s="11"/>
    </row>
    <row r="241" spans="13:13" ht="14.25" customHeight="1" x14ac:dyDescent="0.35">
      <c r="M241" s="11"/>
    </row>
    <row r="242" spans="13:13" ht="14.25" customHeight="1" x14ac:dyDescent="0.35">
      <c r="M242" s="11"/>
    </row>
    <row r="243" spans="13:13" ht="14.25" customHeight="1" x14ac:dyDescent="0.35">
      <c r="M243" s="11"/>
    </row>
    <row r="244" spans="13:13" ht="14.25" customHeight="1" x14ac:dyDescent="0.35">
      <c r="M244" s="11"/>
    </row>
    <row r="245" spans="13:13" ht="14.25" customHeight="1" x14ac:dyDescent="0.35">
      <c r="M245" s="11"/>
    </row>
    <row r="246" spans="13:13" ht="14.25" customHeight="1" x14ac:dyDescent="0.35">
      <c r="M246" s="11"/>
    </row>
    <row r="247" spans="13:13" ht="14.25" customHeight="1" x14ac:dyDescent="0.35">
      <c r="M247" s="11"/>
    </row>
    <row r="248" spans="13:13" ht="14.25" customHeight="1" x14ac:dyDescent="0.35">
      <c r="M248" s="11"/>
    </row>
    <row r="249" spans="13:13" ht="14.25" customHeight="1" x14ac:dyDescent="0.35">
      <c r="M249" s="11"/>
    </row>
    <row r="250" spans="13:13" ht="14.25" customHeight="1" x14ac:dyDescent="0.35">
      <c r="M250" s="11"/>
    </row>
    <row r="251" spans="13:13" ht="14.25" customHeight="1" x14ac:dyDescent="0.35">
      <c r="M251" s="11"/>
    </row>
    <row r="252" spans="13:13" ht="14.25" customHeight="1" x14ac:dyDescent="0.35">
      <c r="M252" s="11"/>
    </row>
    <row r="253" spans="13:13" ht="14.25" customHeight="1" x14ac:dyDescent="0.35">
      <c r="M253" s="11"/>
    </row>
    <row r="254" spans="13:13" ht="14.25" customHeight="1" x14ac:dyDescent="0.35">
      <c r="M254" s="11"/>
    </row>
    <row r="255" spans="13:13" ht="14.25" customHeight="1" x14ac:dyDescent="0.35">
      <c r="M255" s="11"/>
    </row>
    <row r="256" spans="13:13" ht="14.25" customHeight="1" x14ac:dyDescent="0.35">
      <c r="M256" s="11"/>
    </row>
    <row r="257" spans="13:13" ht="14.25" customHeight="1" x14ac:dyDescent="0.35">
      <c r="M257" s="11"/>
    </row>
    <row r="258" spans="13:13" ht="14.25" customHeight="1" x14ac:dyDescent="0.35">
      <c r="M258" s="11"/>
    </row>
    <row r="259" spans="13:13" ht="14.25" customHeight="1" x14ac:dyDescent="0.35">
      <c r="M259" s="11"/>
    </row>
    <row r="260" spans="13:13" ht="14.25" customHeight="1" x14ac:dyDescent="0.35">
      <c r="M260" s="11"/>
    </row>
    <row r="261" spans="13:13" ht="14.25" customHeight="1" x14ac:dyDescent="0.35">
      <c r="M261" s="11"/>
    </row>
    <row r="262" spans="13:13" ht="14.25" customHeight="1" x14ac:dyDescent="0.35">
      <c r="M262" s="11"/>
    </row>
    <row r="263" spans="13:13" ht="14.25" customHeight="1" x14ac:dyDescent="0.35">
      <c r="M263" s="11"/>
    </row>
    <row r="264" spans="13:13" ht="14.25" customHeight="1" x14ac:dyDescent="0.35">
      <c r="M264" s="11"/>
    </row>
    <row r="265" spans="13:13" ht="14.25" customHeight="1" x14ac:dyDescent="0.35">
      <c r="M265" s="11"/>
    </row>
    <row r="266" spans="13:13" ht="14.25" customHeight="1" x14ac:dyDescent="0.35">
      <c r="M266" s="11"/>
    </row>
    <row r="267" spans="13:13" ht="14.25" customHeight="1" x14ac:dyDescent="0.35">
      <c r="M267" s="11"/>
    </row>
    <row r="268" spans="13:13" ht="14.25" customHeight="1" x14ac:dyDescent="0.35">
      <c r="M268" s="11"/>
    </row>
    <row r="269" spans="13:13" ht="14.25" customHeight="1" x14ac:dyDescent="0.35">
      <c r="M269" s="11"/>
    </row>
    <row r="270" spans="13:13" ht="14.25" customHeight="1" x14ac:dyDescent="0.35">
      <c r="M270" s="11"/>
    </row>
    <row r="271" spans="13:13" ht="14.25" customHeight="1" x14ac:dyDescent="0.35">
      <c r="M271" s="11"/>
    </row>
    <row r="272" spans="13:13" ht="14.25" customHeight="1" x14ac:dyDescent="0.35">
      <c r="M272" s="11"/>
    </row>
    <row r="273" spans="13:13" ht="14.25" customHeight="1" x14ac:dyDescent="0.35">
      <c r="M273" s="11"/>
    </row>
    <row r="274" spans="13:13" ht="14.25" customHeight="1" x14ac:dyDescent="0.35">
      <c r="M274" s="11"/>
    </row>
    <row r="275" spans="13:13" ht="14.25" customHeight="1" x14ac:dyDescent="0.35">
      <c r="M275" s="11"/>
    </row>
    <row r="276" spans="13:13" ht="14.25" customHeight="1" x14ac:dyDescent="0.35">
      <c r="M276" s="11"/>
    </row>
    <row r="277" spans="13:13" ht="14.25" customHeight="1" x14ac:dyDescent="0.35">
      <c r="M277" s="11"/>
    </row>
    <row r="278" spans="13:13" ht="14.25" customHeight="1" x14ac:dyDescent="0.35">
      <c r="M278" s="11"/>
    </row>
    <row r="279" spans="13:13" ht="14.25" customHeight="1" x14ac:dyDescent="0.35">
      <c r="M279" s="11"/>
    </row>
    <row r="280" spans="13:13" ht="14.25" customHeight="1" x14ac:dyDescent="0.35">
      <c r="M280" s="11"/>
    </row>
    <row r="281" spans="13:13" ht="14.25" customHeight="1" x14ac:dyDescent="0.35">
      <c r="M281" s="11"/>
    </row>
    <row r="282" spans="13:13" ht="14.25" customHeight="1" x14ac:dyDescent="0.35">
      <c r="M282" s="11"/>
    </row>
    <row r="283" spans="13:13" ht="14.25" customHeight="1" x14ac:dyDescent="0.35">
      <c r="M283" s="11"/>
    </row>
    <row r="284" spans="13:13" ht="14.25" customHeight="1" x14ac:dyDescent="0.35">
      <c r="M284" s="11"/>
    </row>
    <row r="285" spans="13:13" ht="14.25" customHeight="1" x14ac:dyDescent="0.35">
      <c r="M285" s="11"/>
    </row>
    <row r="286" spans="13:13" ht="14.25" customHeight="1" x14ac:dyDescent="0.35">
      <c r="M286" s="11"/>
    </row>
    <row r="287" spans="13:13" ht="14.25" customHeight="1" x14ac:dyDescent="0.35">
      <c r="M287" s="11"/>
    </row>
    <row r="288" spans="13:13" ht="14.25" customHeight="1" x14ac:dyDescent="0.35">
      <c r="M288" s="11"/>
    </row>
    <row r="289" spans="13:13" ht="14.25" customHeight="1" x14ac:dyDescent="0.35">
      <c r="M289" s="11"/>
    </row>
    <row r="290" spans="13:13" ht="14.25" customHeight="1" x14ac:dyDescent="0.35">
      <c r="M290" s="11"/>
    </row>
    <row r="291" spans="13:13" ht="14.25" customHeight="1" x14ac:dyDescent="0.35">
      <c r="M291" s="11"/>
    </row>
    <row r="292" spans="13:13" ht="14.25" customHeight="1" x14ac:dyDescent="0.35">
      <c r="M292" s="11"/>
    </row>
    <row r="293" spans="13:13" ht="14.25" customHeight="1" x14ac:dyDescent="0.35">
      <c r="M293" s="11"/>
    </row>
    <row r="294" spans="13:13" ht="14.25" customHeight="1" x14ac:dyDescent="0.35">
      <c r="M294" s="11"/>
    </row>
    <row r="295" spans="13:13" ht="14.25" customHeight="1" x14ac:dyDescent="0.35">
      <c r="M295" s="11"/>
    </row>
    <row r="296" spans="13:13" ht="14.25" customHeight="1" x14ac:dyDescent="0.35">
      <c r="M296" s="11"/>
    </row>
    <row r="297" spans="13:13" ht="14.25" customHeight="1" x14ac:dyDescent="0.35">
      <c r="M297" s="11"/>
    </row>
    <row r="298" spans="13:13" ht="14.25" customHeight="1" x14ac:dyDescent="0.35">
      <c r="M298" s="11"/>
    </row>
    <row r="299" spans="13:13" ht="14.25" customHeight="1" x14ac:dyDescent="0.35">
      <c r="M299" s="11"/>
    </row>
    <row r="300" spans="13:13" ht="14.25" customHeight="1" x14ac:dyDescent="0.35">
      <c r="M300" s="11"/>
    </row>
    <row r="301" spans="13:13" ht="14.25" customHeight="1" x14ac:dyDescent="0.35">
      <c r="M301" s="11"/>
    </row>
    <row r="302" spans="13:13" ht="14.25" customHeight="1" x14ac:dyDescent="0.35">
      <c r="M302" s="11"/>
    </row>
    <row r="303" spans="13:13" ht="14.25" customHeight="1" x14ac:dyDescent="0.35">
      <c r="M303" s="11"/>
    </row>
    <row r="304" spans="13:13" ht="14.25" customHeight="1" x14ac:dyDescent="0.35">
      <c r="M304" s="11"/>
    </row>
    <row r="305" spans="13:13" ht="14.25" customHeight="1" x14ac:dyDescent="0.35">
      <c r="M305" s="11"/>
    </row>
    <row r="306" spans="13:13" ht="14.25" customHeight="1" x14ac:dyDescent="0.35">
      <c r="M306" s="11"/>
    </row>
    <row r="307" spans="13:13" ht="14.25" customHeight="1" x14ac:dyDescent="0.35">
      <c r="M307" s="11"/>
    </row>
    <row r="308" spans="13:13" ht="14.25" customHeight="1" x14ac:dyDescent="0.35">
      <c r="M308" s="11"/>
    </row>
    <row r="309" spans="13:13" ht="14.25" customHeight="1" x14ac:dyDescent="0.35">
      <c r="M309" s="11"/>
    </row>
    <row r="310" spans="13:13" ht="14.25" customHeight="1" x14ac:dyDescent="0.35">
      <c r="M310" s="11"/>
    </row>
    <row r="311" spans="13:13" ht="14.25" customHeight="1" x14ac:dyDescent="0.35">
      <c r="M311" s="11"/>
    </row>
    <row r="312" spans="13:13" ht="14.25" customHeight="1" x14ac:dyDescent="0.35">
      <c r="M312" s="11"/>
    </row>
    <row r="313" spans="13:13" ht="14.25" customHeight="1" x14ac:dyDescent="0.35">
      <c r="M313" s="11"/>
    </row>
    <row r="314" spans="13:13" ht="14.25" customHeight="1" x14ac:dyDescent="0.35">
      <c r="M314" s="11"/>
    </row>
    <row r="315" spans="13:13" ht="14.25" customHeight="1" x14ac:dyDescent="0.35">
      <c r="M315" s="11"/>
    </row>
    <row r="316" spans="13:13" ht="14.25" customHeight="1" x14ac:dyDescent="0.35">
      <c r="M316" s="11"/>
    </row>
    <row r="317" spans="13:13" ht="14.25" customHeight="1" x14ac:dyDescent="0.35">
      <c r="M317" s="11"/>
    </row>
    <row r="318" spans="13:13" ht="14.25" customHeight="1" x14ac:dyDescent="0.35">
      <c r="M318" s="11"/>
    </row>
    <row r="319" spans="13:13" ht="14.25" customHeight="1" x14ac:dyDescent="0.35">
      <c r="M319" s="11"/>
    </row>
    <row r="320" spans="13:13" ht="14.25" customHeight="1" x14ac:dyDescent="0.35">
      <c r="M320" s="11"/>
    </row>
    <row r="321" spans="13:13" ht="14.25" customHeight="1" x14ac:dyDescent="0.35">
      <c r="M321" s="11"/>
    </row>
    <row r="322" spans="13:13" ht="14.25" customHeight="1" x14ac:dyDescent="0.35">
      <c r="M322" s="11"/>
    </row>
    <row r="323" spans="13:13" ht="14.25" customHeight="1" x14ac:dyDescent="0.35">
      <c r="M323" s="11"/>
    </row>
    <row r="324" spans="13:13" ht="14.25" customHeight="1" x14ac:dyDescent="0.35">
      <c r="M324" s="11"/>
    </row>
    <row r="325" spans="13:13" ht="14.25" customHeight="1" x14ac:dyDescent="0.35">
      <c r="M325" s="11"/>
    </row>
    <row r="326" spans="13:13" ht="14.25" customHeight="1" x14ac:dyDescent="0.35">
      <c r="M326" s="11"/>
    </row>
    <row r="327" spans="13:13" ht="14.25" customHeight="1" x14ac:dyDescent="0.35">
      <c r="M327" s="11"/>
    </row>
    <row r="328" spans="13:13" ht="14.25" customHeight="1" x14ac:dyDescent="0.35">
      <c r="M328" s="11"/>
    </row>
    <row r="329" spans="13:13" ht="14.25" customHeight="1" x14ac:dyDescent="0.35">
      <c r="M329" s="11"/>
    </row>
    <row r="330" spans="13:13" ht="14.25" customHeight="1" x14ac:dyDescent="0.35">
      <c r="M330" s="11"/>
    </row>
    <row r="331" spans="13:13" ht="14.25" customHeight="1" x14ac:dyDescent="0.35">
      <c r="M331" s="11"/>
    </row>
    <row r="332" spans="13:13" ht="14.25" customHeight="1" x14ac:dyDescent="0.35">
      <c r="M332" s="11"/>
    </row>
    <row r="333" spans="13:13" ht="14.25" customHeight="1" x14ac:dyDescent="0.35">
      <c r="M333" s="11"/>
    </row>
    <row r="334" spans="13:13" ht="14.25" customHeight="1" x14ac:dyDescent="0.35">
      <c r="M334" s="11"/>
    </row>
    <row r="335" spans="13:13" ht="14.25" customHeight="1" x14ac:dyDescent="0.35">
      <c r="M335" s="11"/>
    </row>
    <row r="336" spans="13:13" ht="14.25" customHeight="1" x14ac:dyDescent="0.35">
      <c r="M336" s="11"/>
    </row>
    <row r="337" spans="13:13" ht="14.25" customHeight="1" x14ac:dyDescent="0.35">
      <c r="M337" s="11"/>
    </row>
    <row r="338" spans="13:13" ht="14.25" customHeight="1" x14ac:dyDescent="0.35">
      <c r="M338" s="11"/>
    </row>
    <row r="339" spans="13:13" ht="14.25" customHeight="1" x14ac:dyDescent="0.35">
      <c r="M339" s="11"/>
    </row>
    <row r="340" spans="13:13" ht="14.25" customHeight="1" x14ac:dyDescent="0.35">
      <c r="M340" s="11"/>
    </row>
    <row r="341" spans="13:13" ht="14.25" customHeight="1" x14ac:dyDescent="0.35">
      <c r="M341" s="11"/>
    </row>
    <row r="342" spans="13:13" ht="14.25" customHeight="1" x14ac:dyDescent="0.35">
      <c r="M342" s="11"/>
    </row>
    <row r="343" spans="13:13" ht="14.25" customHeight="1" x14ac:dyDescent="0.35">
      <c r="M343" s="11"/>
    </row>
    <row r="344" spans="13:13" ht="14.25" customHeight="1" x14ac:dyDescent="0.35">
      <c r="M344" s="11"/>
    </row>
    <row r="345" spans="13:13" ht="14.25" customHeight="1" x14ac:dyDescent="0.35">
      <c r="M345" s="11"/>
    </row>
    <row r="346" spans="13:13" ht="14.25" customHeight="1" x14ac:dyDescent="0.35">
      <c r="M346" s="11"/>
    </row>
    <row r="347" spans="13:13" ht="14.25" customHeight="1" x14ac:dyDescent="0.35">
      <c r="M347" s="11"/>
    </row>
    <row r="348" spans="13:13" ht="14.25" customHeight="1" x14ac:dyDescent="0.35">
      <c r="M348" s="11"/>
    </row>
    <row r="349" spans="13:13" ht="14.25" customHeight="1" x14ac:dyDescent="0.35">
      <c r="M349" s="11"/>
    </row>
    <row r="350" spans="13:13" ht="14.25" customHeight="1" x14ac:dyDescent="0.35">
      <c r="M350" s="11"/>
    </row>
    <row r="351" spans="13:13" ht="14.25" customHeight="1" x14ac:dyDescent="0.35">
      <c r="M351" s="11"/>
    </row>
    <row r="352" spans="13:13" ht="14.25" customHeight="1" x14ac:dyDescent="0.35">
      <c r="M352" s="11"/>
    </row>
    <row r="353" spans="13:13" ht="14.25" customHeight="1" x14ac:dyDescent="0.35">
      <c r="M353" s="11"/>
    </row>
    <row r="354" spans="13:13" ht="14.25" customHeight="1" x14ac:dyDescent="0.35">
      <c r="M354" s="11"/>
    </row>
    <row r="355" spans="13:13" ht="14.25" customHeight="1" x14ac:dyDescent="0.35">
      <c r="M355" s="11"/>
    </row>
    <row r="356" spans="13:13" ht="14.25" customHeight="1" x14ac:dyDescent="0.35">
      <c r="M356" s="11"/>
    </row>
    <row r="357" spans="13:13" ht="14.25" customHeight="1" x14ac:dyDescent="0.35">
      <c r="M357" s="11"/>
    </row>
    <row r="358" spans="13:13" ht="14.25" customHeight="1" x14ac:dyDescent="0.35">
      <c r="M358" s="11"/>
    </row>
    <row r="359" spans="13:13" ht="14.25" customHeight="1" x14ac:dyDescent="0.35">
      <c r="M359" s="11"/>
    </row>
    <row r="360" spans="13:13" ht="14.25" customHeight="1" x14ac:dyDescent="0.35">
      <c r="M360" s="11"/>
    </row>
    <row r="361" spans="13:13" ht="14.25" customHeight="1" x14ac:dyDescent="0.35">
      <c r="M361" s="11"/>
    </row>
    <row r="362" spans="13:13" ht="14.25" customHeight="1" x14ac:dyDescent="0.35">
      <c r="M362" s="11"/>
    </row>
    <row r="363" spans="13:13" ht="14.25" customHeight="1" x14ac:dyDescent="0.35">
      <c r="M363" s="11"/>
    </row>
    <row r="364" spans="13:13" ht="14.25" customHeight="1" x14ac:dyDescent="0.35">
      <c r="M364" s="11"/>
    </row>
    <row r="365" spans="13:13" ht="14.25" customHeight="1" x14ac:dyDescent="0.35">
      <c r="M365" s="11"/>
    </row>
    <row r="366" spans="13:13" ht="14.25" customHeight="1" x14ac:dyDescent="0.35">
      <c r="M366" s="11"/>
    </row>
    <row r="367" spans="13:13" ht="14.25" customHeight="1" x14ac:dyDescent="0.35">
      <c r="M367" s="11"/>
    </row>
    <row r="368" spans="13:13" ht="14.25" customHeight="1" x14ac:dyDescent="0.35">
      <c r="M368" s="11"/>
    </row>
    <row r="369" spans="13:13" ht="14.25" customHeight="1" x14ac:dyDescent="0.35">
      <c r="M369" s="11"/>
    </row>
    <row r="370" spans="13:13" ht="14.25" customHeight="1" x14ac:dyDescent="0.35">
      <c r="M370" s="11"/>
    </row>
    <row r="371" spans="13:13" ht="14.25" customHeight="1" x14ac:dyDescent="0.35">
      <c r="M371" s="11"/>
    </row>
    <row r="372" spans="13:13" ht="14.25" customHeight="1" x14ac:dyDescent="0.35">
      <c r="M372" s="11"/>
    </row>
    <row r="373" spans="13:13" ht="14.25" customHeight="1" x14ac:dyDescent="0.35">
      <c r="M373" s="11"/>
    </row>
    <row r="374" spans="13:13" ht="14.25" customHeight="1" x14ac:dyDescent="0.35">
      <c r="M374" s="11"/>
    </row>
    <row r="375" spans="13:13" ht="14.25" customHeight="1" x14ac:dyDescent="0.35">
      <c r="M375" s="11"/>
    </row>
    <row r="376" spans="13:13" ht="14.25" customHeight="1" x14ac:dyDescent="0.35">
      <c r="M376" s="11"/>
    </row>
    <row r="377" spans="13:13" ht="14.25" customHeight="1" x14ac:dyDescent="0.35">
      <c r="M377" s="11"/>
    </row>
    <row r="378" spans="13:13" ht="14.25" customHeight="1" x14ac:dyDescent="0.35">
      <c r="M378" s="11"/>
    </row>
    <row r="379" spans="13:13" ht="14.25" customHeight="1" x14ac:dyDescent="0.35">
      <c r="M379" s="11"/>
    </row>
    <row r="380" spans="13:13" ht="14.25" customHeight="1" x14ac:dyDescent="0.35">
      <c r="M380" s="11"/>
    </row>
    <row r="381" spans="13:13" ht="14.25" customHeight="1" x14ac:dyDescent="0.35">
      <c r="M381" s="11"/>
    </row>
    <row r="382" spans="13:13" ht="14.25" customHeight="1" x14ac:dyDescent="0.35">
      <c r="M382" s="11"/>
    </row>
    <row r="383" spans="13:13" ht="14.25" customHeight="1" x14ac:dyDescent="0.35">
      <c r="M383" s="11"/>
    </row>
    <row r="384" spans="13:13" ht="14.25" customHeight="1" x14ac:dyDescent="0.35">
      <c r="M384" s="11"/>
    </row>
    <row r="385" spans="13:13" ht="14.25" customHeight="1" x14ac:dyDescent="0.35">
      <c r="M385" s="11"/>
    </row>
    <row r="386" spans="13:13" ht="14.25" customHeight="1" x14ac:dyDescent="0.35">
      <c r="M386" s="11"/>
    </row>
    <row r="387" spans="13:13" ht="14.25" customHeight="1" x14ac:dyDescent="0.35">
      <c r="M387" s="11"/>
    </row>
    <row r="388" spans="13:13" ht="14.25" customHeight="1" x14ac:dyDescent="0.35">
      <c r="M388" s="11"/>
    </row>
    <row r="389" spans="13:13" ht="14.25" customHeight="1" x14ac:dyDescent="0.35">
      <c r="M389" s="11"/>
    </row>
    <row r="390" spans="13:13" ht="14.25" customHeight="1" x14ac:dyDescent="0.35">
      <c r="M390" s="11"/>
    </row>
    <row r="391" spans="13:13" ht="14.25" customHeight="1" x14ac:dyDescent="0.35">
      <c r="M391" s="11"/>
    </row>
    <row r="392" spans="13:13" ht="14.25" customHeight="1" x14ac:dyDescent="0.35">
      <c r="M392" s="11"/>
    </row>
    <row r="393" spans="13:13" ht="14.25" customHeight="1" x14ac:dyDescent="0.35">
      <c r="M393" s="11"/>
    </row>
    <row r="394" spans="13:13" ht="14.25" customHeight="1" x14ac:dyDescent="0.35">
      <c r="M394" s="11"/>
    </row>
    <row r="395" spans="13:13" ht="14.25" customHeight="1" x14ac:dyDescent="0.35">
      <c r="M395" s="11"/>
    </row>
    <row r="396" spans="13:13" ht="14.25" customHeight="1" x14ac:dyDescent="0.35">
      <c r="M396" s="11"/>
    </row>
    <row r="397" spans="13:13" ht="14.25" customHeight="1" x14ac:dyDescent="0.35">
      <c r="M397" s="11"/>
    </row>
    <row r="398" spans="13:13" ht="14.25" customHeight="1" x14ac:dyDescent="0.35">
      <c r="M398" s="11"/>
    </row>
    <row r="399" spans="13:13" ht="14.25" customHeight="1" x14ac:dyDescent="0.35">
      <c r="M399" s="11"/>
    </row>
    <row r="400" spans="13:13" ht="14.25" customHeight="1" x14ac:dyDescent="0.35">
      <c r="M400" s="11"/>
    </row>
    <row r="401" spans="13:13" ht="14.25" customHeight="1" x14ac:dyDescent="0.35">
      <c r="M401" s="11"/>
    </row>
    <row r="402" spans="13:13" ht="14.25" customHeight="1" x14ac:dyDescent="0.35">
      <c r="M402" s="11"/>
    </row>
    <row r="403" spans="13:13" ht="14.25" customHeight="1" x14ac:dyDescent="0.35">
      <c r="M403" s="11"/>
    </row>
    <row r="404" spans="13:13" ht="14.25" customHeight="1" x14ac:dyDescent="0.35">
      <c r="M404" s="11"/>
    </row>
    <row r="405" spans="13:13" ht="14.25" customHeight="1" x14ac:dyDescent="0.35">
      <c r="M405" s="11"/>
    </row>
    <row r="406" spans="13:13" ht="14.25" customHeight="1" x14ac:dyDescent="0.35">
      <c r="M406" s="11"/>
    </row>
    <row r="407" spans="13:13" ht="14.25" customHeight="1" x14ac:dyDescent="0.35">
      <c r="M407" s="11"/>
    </row>
    <row r="408" spans="13:13" ht="14.25" customHeight="1" x14ac:dyDescent="0.35">
      <c r="M408" s="11"/>
    </row>
    <row r="409" spans="13:13" ht="14.25" customHeight="1" x14ac:dyDescent="0.35">
      <c r="M409" s="11"/>
    </row>
    <row r="410" spans="13:13" ht="14.25" customHeight="1" x14ac:dyDescent="0.35">
      <c r="M410" s="11"/>
    </row>
    <row r="411" spans="13:13" ht="14.25" customHeight="1" x14ac:dyDescent="0.35">
      <c r="M411" s="11"/>
    </row>
    <row r="412" spans="13:13" ht="14.25" customHeight="1" x14ac:dyDescent="0.35">
      <c r="M412" s="11"/>
    </row>
    <row r="413" spans="13:13" ht="14.25" customHeight="1" x14ac:dyDescent="0.35">
      <c r="M413" s="11"/>
    </row>
    <row r="414" spans="13:13" ht="14.25" customHeight="1" x14ac:dyDescent="0.35">
      <c r="M414" s="11"/>
    </row>
    <row r="415" spans="13:13" ht="14.25" customHeight="1" x14ac:dyDescent="0.35">
      <c r="M415" s="11"/>
    </row>
    <row r="416" spans="13:13" ht="14.25" customHeight="1" x14ac:dyDescent="0.35">
      <c r="M416" s="11"/>
    </row>
    <row r="417" spans="13:13" ht="14.25" customHeight="1" x14ac:dyDescent="0.35">
      <c r="M417" s="11"/>
    </row>
    <row r="418" spans="13:13" ht="14.25" customHeight="1" x14ac:dyDescent="0.35">
      <c r="M418" s="11"/>
    </row>
    <row r="419" spans="13:13" ht="14.25" customHeight="1" x14ac:dyDescent="0.35">
      <c r="M419" s="11"/>
    </row>
    <row r="420" spans="13:13" ht="14.25" customHeight="1" x14ac:dyDescent="0.35">
      <c r="M420" s="11"/>
    </row>
    <row r="421" spans="13:13" ht="14.25" customHeight="1" x14ac:dyDescent="0.35">
      <c r="M421" s="11"/>
    </row>
    <row r="422" spans="13:13" ht="14.25" customHeight="1" x14ac:dyDescent="0.35">
      <c r="M422" s="11"/>
    </row>
    <row r="423" spans="13:13" ht="14.25" customHeight="1" x14ac:dyDescent="0.35">
      <c r="M423" s="11"/>
    </row>
    <row r="424" spans="13:13" ht="14.25" customHeight="1" x14ac:dyDescent="0.35">
      <c r="M424" s="11"/>
    </row>
    <row r="425" spans="13:13" ht="14.25" customHeight="1" x14ac:dyDescent="0.35">
      <c r="M425" s="11"/>
    </row>
    <row r="426" spans="13:13" ht="14.25" customHeight="1" x14ac:dyDescent="0.35">
      <c r="M426" s="11"/>
    </row>
    <row r="427" spans="13:13" ht="14.25" customHeight="1" x14ac:dyDescent="0.35">
      <c r="M427" s="11"/>
    </row>
    <row r="428" spans="13:13" ht="14.25" customHeight="1" x14ac:dyDescent="0.35">
      <c r="M428" s="11"/>
    </row>
    <row r="429" spans="13:13" ht="14.25" customHeight="1" x14ac:dyDescent="0.35">
      <c r="M429" s="11"/>
    </row>
    <row r="430" spans="13:13" ht="14.25" customHeight="1" x14ac:dyDescent="0.35">
      <c r="M430" s="11"/>
    </row>
    <row r="431" spans="13:13" ht="14.25" customHeight="1" x14ac:dyDescent="0.35">
      <c r="M431" s="11"/>
    </row>
    <row r="432" spans="13:13" ht="14.25" customHeight="1" x14ac:dyDescent="0.35">
      <c r="M432" s="11"/>
    </row>
    <row r="433" spans="13:13" ht="14.25" customHeight="1" x14ac:dyDescent="0.35">
      <c r="M433" s="11"/>
    </row>
    <row r="434" spans="13:13" ht="14.25" customHeight="1" x14ac:dyDescent="0.35">
      <c r="M434" s="11"/>
    </row>
    <row r="435" spans="13:13" ht="14.25" customHeight="1" x14ac:dyDescent="0.35">
      <c r="M435" s="11"/>
    </row>
    <row r="436" spans="13:13" ht="14.25" customHeight="1" x14ac:dyDescent="0.35">
      <c r="M436" s="11"/>
    </row>
    <row r="437" spans="13:13" ht="14.25" customHeight="1" x14ac:dyDescent="0.35">
      <c r="M437" s="11"/>
    </row>
    <row r="438" spans="13:13" ht="14.25" customHeight="1" x14ac:dyDescent="0.35">
      <c r="M438" s="11"/>
    </row>
    <row r="439" spans="13:13" ht="14.25" customHeight="1" x14ac:dyDescent="0.35">
      <c r="M439" s="11"/>
    </row>
    <row r="440" spans="13:13" ht="14.25" customHeight="1" x14ac:dyDescent="0.35">
      <c r="M440" s="11"/>
    </row>
    <row r="441" spans="13:13" ht="14.25" customHeight="1" x14ac:dyDescent="0.35">
      <c r="M441" s="11"/>
    </row>
    <row r="442" spans="13:13" ht="14.25" customHeight="1" x14ac:dyDescent="0.35">
      <c r="M442" s="11"/>
    </row>
    <row r="443" spans="13:13" ht="14.25" customHeight="1" x14ac:dyDescent="0.35">
      <c r="M443" s="11"/>
    </row>
    <row r="444" spans="13:13" ht="14.25" customHeight="1" x14ac:dyDescent="0.35">
      <c r="M444" s="11"/>
    </row>
    <row r="445" spans="13:13" ht="14.25" customHeight="1" x14ac:dyDescent="0.35">
      <c r="M445" s="11"/>
    </row>
    <row r="446" spans="13:13" ht="14.25" customHeight="1" x14ac:dyDescent="0.35">
      <c r="M446" s="11"/>
    </row>
    <row r="447" spans="13:13" ht="14.25" customHeight="1" x14ac:dyDescent="0.35">
      <c r="M447" s="11"/>
    </row>
    <row r="448" spans="13:13" ht="14.25" customHeight="1" x14ac:dyDescent="0.35">
      <c r="M448" s="11"/>
    </row>
    <row r="449" spans="13:13" ht="14.25" customHeight="1" x14ac:dyDescent="0.35">
      <c r="M449" s="11"/>
    </row>
    <row r="450" spans="13:13" ht="14.25" customHeight="1" x14ac:dyDescent="0.35">
      <c r="M450" s="11"/>
    </row>
    <row r="451" spans="13:13" ht="14.25" customHeight="1" x14ac:dyDescent="0.35">
      <c r="M451" s="11"/>
    </row>
    <row r="452" spans="13:13" ht="14.25" customHeight="1" x14ac:dyDescent="0.35">
      <c r="M452" s="11"/>
    </row>
    <row r="453" spans="13:13" ht="14.25" customHeight="1" x14ac:dyDescent="0.35">
      <c r="M453" s="11"/>
    </row>
    <row r="454" spans="13:13" ht="14.25" customHeight="1" x14ac:dyDescent="0.35">
      <c r="M454" s="11"/>
    </row>
    <row r="455" spans="13:13" ht="14.25" customHeight="1" x14ac:dyDescent="0.35">
      <c r="M455" s="11"/>
    </row>
    <row r="456" spans="13:13" ht="14.25" customHeight="1" x14ac:dyDescent="0.35">
      <c r="M456" s="11"/>
    </row>
    <row r="457" spans="13:13" ht="14.25" customHeight="1" x14ac:dyDescent="0.35">
      <c r="M457" s="11"/>
    </row>
    <row r="458" spans="13:13" ht="14.25" customHeight="1" x14ac:dyDescent="0.35">
      <c r="M458" s="11"/>
    </row>
    <row r="459" spans="13:13" ht="14.25" customHeight="1" x14ac:dyDescent="0.35">
      <c r="M459" s="11"/>
    </row>
    <row r="460" spans="13:13" ht="14.25" customHeight="1" x14ac:dyDescent="0.35">
      <c r="M460" s="11"/>
    </row>
    <row r="461" spans="13:13" ht="14.25" customHeight="1" x14ac:dyDescent="0.35">
      <c r="M461" s="11"/>
    </row>
    <row r="462" spans="13:13" ht="14.25" customHeight="1" x14ac:dyDescent="0.35">
      <c r="M462" s="11"/>
    </row>
    <row r="463" spans="13:13" ht="14.25" customHeight="1" x14ac:dyDescent="0.35">
      <c r="M463" s="11"/>
    </row>
    <row r="464" spans="13:13" ht="14.25" customHeight="1" x14ac:dyDescent="0.35">
      <c r="M464" s="11"/>
    </row>
    <row r="465" spans="13:13" ht="14.25" customHeight="1" x14ac:dyDescent="0.35">
      <c r="M465" s="11"/>
    </row>
    <row r="466" spans="13:13" ht="14.25" customHeight="1" x14ac:dyDescent="0.35">
      <c r="M466" s="11"/>
    </row>
    <row r="467" spans="13:13" ht="14.25" customHeight="1" x14ac:dyDescent="0.35">
      <c r="M467" s="11"/>
    </row>
    <row r="468" spans="13:13" ht="14.25" customHeight="1" x14ac:dyDescent="0.35">
      <c r="M468" s="11"/>
    </row>
    <row r="469" spans="13:13" ht="14.25" customHeight="1" x14ac:dyDescent="0.35">
      <c r="M469" s="11"/>
    </row>
    <row r="470" spans="13:13" ht="14.25" customHeight="1" x14ac:dyDescent="0.35">
      <c r="M470" s="11"/>
    </row>
    <row r="471" spans="13:13" ht="14.25" customHeight="1" x14ac:dyDescent="0.35">
      <c r="M471" s="11"/>
    </row>
    <row r="472" spans="13:13" ht="14.25" customHeight="1" x14ac:dyDescent="0.35">
      <c r="M472" s="11"/>
    </row>
    <row r="473" spans="13:13" ht="14.25" customHeight="1" x14ac:dyDescent="0.35">
      <c r="M473" s="11"/>
    </row>
    <row r="474" spans="13:13" ht="14.25" customHeight="1" x14ac:dyDescent="0.35">
      <c r="M474" s="11"/>
    </row>
    <row r="475" spans="13:13" ht="14.25" customHeight="1" x14ac:dyDescent="0.35">
      <c r="M475" s="11"/>
    </row>
    <row r="476" spans="13:13" ht="14.25" customHeight="1" x14ac:dyDescent="0.35">
      <c r="M476" s="11"/>
    </row>
    <row r="477" spans="13:13" ht="14.25" customHeight="1" x14ac:dyDescent="0.35">
      <c r="M477" s="11"/>
    </row>
    <row r="478" spans="13:13" ht="14.25" customHeight="1" x14ac:dyDescent="0.35">
      <c r="M478" s="11"/>
    </row>
    <row r="479" spans="13:13" ht="14.25" customHeight="1" x14ac:dyDescent="0.35">
      <c r="M479" s="11"/>
    </row>
    <row r="480" spans="13:13" ht="14.25" customHeight="1" x14ac:dyDescent="0.35">
      <c r="M480" s="11"/>
    </row>
    <row r="481" spans="13:13" ht="14.25" customHeight="1" x14ac:dyDescent="0.35">
      <c r="M481" s="11"/>
    </row>
    <row r="482" spans="13:13" ht="14.25" customHeight="1" x14ac:dyDescent="0.35">
      <c r="M482" s="11"/>
    </row>
    <row r="483" spans="13:13" ht="14.25" customHeight="1" x14ac:dyDescent="0.35">
      <c r="M483" s="11"/>
    </row>
    <row r="484" spans="13:13" ht="14.25" customHeight="1" x14ac:dyDescent="0.35">
      <c r="M484" s="11"/>
    </row>
    <row r="485" spans="13:13" ht="14.25" customHeight="1" x14ac:dyDescent="0.35">
      <c r="M485" s="11"/>
    </row>
    <row r="486" spans="13:13" ht="14.25" customHeight="1" x14ac:dyDescent="0.35">
      <c r="M486" s="11"/>
    </row>
    <row r="487" spans="13:13" ht="14.25" customHeight="1" x14ac:dyDescent="0.35">
      <c r="M487" s="11"/>
    </row>
    <row r="488" spans="13:13" ht="14.25" customHeight="1" x14ac:dyDescent="0.35">
      <c r="M488" s="11"/>
    </row>
    <row r="489" spans="13:13" ht="14.25" customHeight="1" x14ac:dyDescent="0.35">
      <c r="M489" s="11"/>
    </row>
    <row r="490" spans="13:13" ht="14.25" customHeight="1" x14ac:dyDescent="0.35">
      <c r="M490" s="11"/>
    </row>
    <row r="491" spans="13:13" ht="14.25" customHeight="1" x14ac:dyDescent="0.35">
      <c r="M491" s="11"/>
    </row>
    <row r="492" spans="13:13" ht="14.25" customHeight="1" x14ac:dyDescent="0.35">
      <c r="M492" s="11"/>
    </row>
    <row r="493" spans="13:13" ht="14.25" customHeight="1" x14ac:dyDescent="0.35">
      <c r="M493" s="11"/>
    </row>
    <row r="494" spans="13:13" ht="14.25" customHeight="1" x14ac:dyDescent="0.35">
      <c r="M494" s="11"/>
    </row>
    <row r="495" spans="13:13" ht="14.25" customHeight="1" x14ac:dyDescent="0.35">
      <c r="M495" s="11"/>
    </row>
    <row r="496" spans="13:13" ht="14.25" customHeight="1" x14ac:dyDescent="0.35">
      <c r="M496" s="11"/>
    </row>
    <row r="497" spans="13:13" ht="14.25" customHeight="1" x14ac:dyDescent="0.35">
      <c r="M497" s="11"/>
    </row>
    <row r="498" spans="13:13" ht="14.25" customHeight="1" x14ac:dyDescent="0.35">
      <c r="M498" s="11"/>
    </row>
    <row r="499" spans="13:13" ht="14.25" customHeight="1" x14ac:dyDescent="0.35">
      <c r="M499" s="11"/>
    </row>
    <row r="500" spans="13:13" ht="14.25" customHeight="1" x14ac:dyDescent="0.35">
      <c r="M500" s="11"/>
    </row>
    <row r="501" spans="13:13" ht="14.25" customHeight="1" x14ac:dyDescent="0.35">
      <c r="M501" s="11"/>
    </row>
    <row r="502" spans="13:13" ht="14.25" customHeight="1" x14ac:dyDescent="0.35">
      <c r="M502" s="11"/>
    </row>
    <row r="503" spans="13:13" ht="14.25" customHeight="1" x14ac:dyDescent="0.35">
      <c r="M503" s="11"/>
    </row>
    <row r="504" spans="13:13" ht="14.25" customHeight="1" x14ac:dyDescent="0.35">
      <c r="M504" s="11"/>
    </row>
    <row r="505" spans="13:13" ht="14.25" customHeight="1" x14ac:dyDescent="0.35">
      <c r="M505" s="11"/>
    </row>
    <row r="506" spans="13:13" ht="14.25" customHeight="1" x14ac:dyDescent="0.35">
      <c r="M506" s="11"/>
    </row>
    <row r="507" spans="13:13" ht="14.25" customHeight="1" x14ac:dyDescent="0.35">
      <c r="M507" s="11"/>
    </row>
    <row r="508" spans="13:13" ht="14.25" customHeight="1" x14ac:dyDescent="0.35">
      <c r="M508" s="11"/>
    </row>
    <row r="509" spans="13:13" ht="14.25" customHeight="1" x14ac:dyDescent="0.35">
      <c r="M509" s="11"/>
    </row>
    <row r="510" spans="13:13" ht="14.25" customHeight="1" x14ac:dyDescent="0.35">
      <c r="M510" s="11"/>
    </row>
    <row r="511" spans="13:13" ht="14.25" customHeight="1" x14ac:dyDescent="0.35">
      <c r="M511" s="11"/>
    </row>
    <row r="512" spans="13:13" ht="14.25" customHeight="1" x14ac:dyDescent="0.35">
      <c r="M512" s="11"/>
    </row>
    <row r="513" spans="13:13" ht="14.25" customHeight="1" x14ac:dyDescent="0.35">
      <c r="M513" s="11"/>
    </row>
    <row r="514" spans="13:13" ht="14.25" customHeight="1" x14ac:dyDescent="0.35">
      <c r="M514" s="11"/>
    </row>
    <row r="515" spans="13:13" ht="14.25" customHeight="1" x14ac:dyDescent="0.35">
      <c r="M515" s="11"/>
    </row>
    <row r="516" spans="13:13" ht="14.25" customHeight="1" x14ac:dyDescent="0.35">
      <c r="M516" s="11"/>
    </row>
    <row r="517" spans="13:13" ht="14.25" customHeight="1" x14ac:dyDescent="0.35">
      <c r="M517" s="11"/>
    </row>
    <row r="518" spans="13:13" ht="14.25" customHeight="1" x14ac:dyDescent="0.35">
      <c r="M518" s="11"/>
    </row>
    <row r="519" spans="13:13" ht="14.25" customHeight="1" x14ac:dyDescent="0.35">
      <c r="M519" s="11"/>
    </row>
    <row r="520" spans="13:13" ht="14.25" customHeight="1" x14ac:dyDescent="0.35">
      <c r="M520" s="11"/>
    </row>
    <row r="521" spans="13:13" ht="14.25" customHeight="1" x14ac:dyDescent="0.35">
      <c r="M521" s="11"/>
    </row>
    <row r="522" spans="13:13" ht="14.25" customHeight="1" x14ac:dyDescent="0.35">
      <c r="M522" s="11"/>
    </row>
    <row r="523" spans="13:13" ht="14.25" customHeight="1" x14ac:dyDescent="0.35">
      <c r="M523" s="11"/>
    </row>
    <row r="524" spans="13:13" ht="14.25" customHeight="1" x14ac:dyDescent="0.35">
      <c r="M524" s="11"/>
    </row>
    <row r="525" spans="13:13" ht="14.25" customHeight="1" x14ac:dyDescent="0.35">
      <c r="M525" s="11"/>
    </row>
    <row r="526" spans="13:13" ht="14.25" customHeight="1" x14ac:dyDescent="0.35">
      <c r="M526" s="11"/>
    </row>
    <row r="527" spans="13:13" ht="14.25" customHeight="1" x14ac:dyDescent="0.35">
      <c r="M527" s="11"/>
    </row>
    <row r="528" spans="13:13" ht="14.25" customHeight="1" x14ac:dyDescent="0.35">
      <c r="M528" s="11"/>
    </row>
    <row r="529" spans="13:13" ht="14.25" customHeight="1" x14ac:dyDescent="0.35">
      <c r="M529" s="11"/>
    </row>
    <row r="530" spans="13:13" ht="14.25" customHeight="1" x14ac:dyDescent="0.35">
      <c r="M530" s="11"/>
    </row>
    <row r="531" spans="13:13" ht="14.25" customHeight="1" x14ac:dyDescent="0.35">
      <c r="M531" s="11"/>
    </row>
    <row r="532" spans="13:13" ht="14.25" customHeight="1" x14ac:dyDescent="0.35">
      <c r="M532" s="11"/>
    </row>
    <row r="533" spans="13:13" ht="14.25" customHeight="1" x14ac:dyDescent="0.35">
      <c r="M533" s="11"/>
    </row>
    <row r="534" spans="13:13" ht="14.25" customHeight="1" x14ac:dyDescent="0.35">
      <c r="M534" s="11"/>
    </row>
    <row r="535" spans="13:13" ht="14.25" customHeight="1" x14ac:dyDescent="0.35">
      <c r="M535" s="11"/>
    </row>
    <row r="536" spans="13:13" ht="14.25" customHeight="1" x14ac:dyDescent="0.35">
      <c r="M536" s="11"/>
    </row>
    <row r="537" spans="13:13" ht="14.25" customHeight="1" x14ac:dyDescent="0.35">
      <c r="M537" s="11"/>
    </row>
    <row r="538" spans="13:13" ht="14.25" customHeight="1" x14ac:dyDescent="0.35">
      <c r="M538" s="11"/>
    </row>
    <row r="539" spans="13:13" ht="14.25" customHeight="1" x14ac:dyDescent="0.35">
      <c r="M539" s="11"/>
    </row>
    <row r="540" spans="13:13" ht="14.25" customHeight="1" x14ac:dyDescent="0.35">
      <c r="M540" s="11"/>
    </row>
    <row r="541" spans="13:13" ht="14.25" customHeight="1" x14ac:dyDescent="0.35">
      <c r="M541" s="11"/>
    </row>
    <row r="542" spans="13:13" ht="14.25" customHeight="1" x14ac:dyDescent="0.35">
      <c r="M542" s="11"/>
    </row>
    <row r="543" spans="13:13" ht="14.25" customHeight="1" x14ac:dyDescent="0.35">
      <c r="M543" s="11"/>
    </row>
    <row r="544" spans="13:13" ht="14.25" customHeight="1" x14ac:dyDescent="0.35">
      <c r="M544" s="11"/>
    </row>
    <row r="545" spans="13:13" ht="14.25" customHeight="1" x14ac:dyDescent="0.35">
      <c r="M545" s="11"/>
    </row>
    <row r="546" spans="13:13" ht="14.25" customHeight="1" x14ac:dyDescent="0.35">
      <c r="M546" s="11"/>
    </row>
    <row r="547" spans="13:13" ht="14.25" customHeight="1" x14ac:dyDescent="0.35">
      <c r="M547" s="11"/>
    </row>
    <row r="548" spans="13:13" ht="14.25" customHeight="1" x14ac:dyDescent="0.35">
      <c r="M548" s="11"/>
    </row>
    <row r="549" spans="13:13" ht="14.25" customHeight="1" x14ac:dyDescent="0.35">
      <c r="M549" s="11"/>
    </row>
    <row r="550" spans="13:13" ht="14.25" customHeight="1" x14ac:dyDescent="0.35">
      <c r="M550" s="11"/>
    </row>
    <row r="551" spans="13:13" ht="14.25" customHeight="1" x14ac:dyDescent="0.35">
      <c r="M551" s="11"/>
    </row>
    <row r="552" spans="13:13" ht="14.25" customHeight="1" x14ac:dyDescent="0.35">
      <c r="M552" s="11"/>
    </row>
    <row r="553" spans="13:13" ht="14.25" customHeight="1" x14ac:dyDescent="0.35">
      <c r="M553" s="11"/>
    </row>
    <row r="554" spans="13:13" ht="14.25" customHeight="1" x14ac:dyDescent="0.35">
      <c r="M554" s="11"/>
    </row>
    <row r="555" spans="13:13" ht="14.25" customHeight="1" x14ac:dyDescent="0.35">
      <c r="M555" s="11"/>
    </row>
    <row r="556" spans="13:13" ht="14.25" customHeight="1" x14ac:dyDescent="0.35">
      <c r="M556" s="11"/>
    </row>
    <row r="557" spans="13:13" ht="14.25" customHeight="1" x14ac:dyDescent="0.35">
      <c r="M557" s="11"/>
    </row>
    <row r="558" spans="13:13" ht="14.25" customHeight="1" x14ac:dyDescent="0.35">
      <c r="M558" s="11"/>
    </row>
    <row r="559" spans="13:13" ht="14.25" customHeight="1" x14ac:dyDescent="0.35">
      <c r="M559" s="11"/>
    </row>
    <row r="560" spans="13:13" ht="14.25" customHeight="1" x14ac:dyDescent="0.35">
      <c r="M560" s="11"/>
    </row>
    <row r="561" spans="13:13" ht="14.25" customHeight="1" x14ac:dyDescent="0.35">
      <c r="M561" s="11"/>
    </row>
    <row r="562" spans="13:13" ht="14.25" customHeight="1" x14ac:dyDescent="0.35">
      <c r="M562" s="11"/>
    </row>
    <row r="563" spans="13:13" ht="14.25" customHeight="1" x14ac:dyDescent="0.35">
      <c r="M563" s="11"/>
    </row>
    <row r="564" spans="13:13" ht="14.25" customHeight="1" x14ac:dyDescent="0.35">
      <c r="M564" s="11"/>
    </row>
    <row r="565" spans="13:13" ht="14.25" customHeight="1" x14ac:dyDescent="0.35">
      <c r="M565" s="11"/>
    </row>
    <row r="566" spans="13:13" ht="14.25" customHeight="1" x14ac:dyDescent="0.35">
      <c r="M566" s="11"/>
    </row>
    <row r="567" spans="13:13" ht="14.25" customHeight="1" x14ac:dyDescent="0.35">
      <c r="M567" s="11"/>
    </row>
    <row r="568" spans="13:13" ht="14.25" customHeight="1" x14ac:dyDescent="0.35">
      <c r="M568" s="11"/>
    </row>
    <row r="569" spans="13:13" ht="14.25" customHeight="1" x14ac:dyDescent="0.35">
      <c r="M569" s="11"/>
    </row>
    <row r="570" spans="13:13" ht="14.25" customHeight="1" x14ac:dyDescent="0.35">
      <c r="M570" s="11"/>
    </row>
    <row r="571" spans="13:13" ht="14.25" customHeight="1" x14ac:dyDescent="0.35">
      <c r="M571" s="11"/>
    </row>
    <row r="572" spans="13:13" ht="14.25" customHeight="1" x14ac:dyDescent="0.35">
      <c r="M572" s="11"/>
    </row>
    <row r="573" spans="13:13" ht="14.25" customHeight="1" x14ac:dyDescent="0.35">
      <c r="M573" s="11"/>
    </row>
    <row r="574" spans="13:13" ht="14.25" customHeight="1" x14ac:dyDescent="0.35">
      <c r="M574" s="11"/>
    </row>
    <row r="575" spans="13:13" ht="14.25" customHeight="1" x14ac:dyDescent="0.35">
      <c r="M575" s="11"/>
    </row>
    <row r="576" spans="13:13" ht="14.25" customHeight="1" x14ac:dyDescent="0.35">
      <c r="M576" s="11"/>
    </row>
    <row r="577" spans="13:13" ht="14.25" customHeight="1" x14ac:dyDescent="0.35">
      <c r="M577" s="11"/>
    </row>
    <row r="578" spans="13:13" ht="14.25" customHeight="1" x14ac:dyDescent="0.35">
      <c r="M578" s="11"/>
    </row>
    <row r="579" spans="13:13" ht="14.25" customHeight="1" x14ac:dyDescent="0.35">
      <c r="M579" s="11"/>
    </row>
    <row r="580" spans="13:13" ht="14.25" customHeight="1" x14ac:dyDescent="0.35">
      <c r="M580" s="11"/>
    </row>
    <row r="581" spans="13:13" ht="14.25" customHeight="1" x14ac:dyDescent="0.35">
      <c r="M581" s="11"/>
    </row>
    <row r="582" spans="13:13" ht="14.25" customHeight="1" x14ac:dyDescent="0.35">
      <c r="M582" s="11"/>
    </row>
    <row r="583" spans="13:13" ht="14.25" customHeight="1" x14ac:dyDescent="0.35">
      <c r="M583" s="11"/>
    </row>
    <row r="584" spans="13:13" ht="14.25" customHeight="1" x14ac:dyDescent="0.35">
      <c r="M584" s="11"/>
    </row>
    <row r="585" spans="13:13" ht="14.25" customHeight="1" x14ac:dyDescent="0.35">
      <c r="M585" s="11"/>
    </row>
    <row r="586" spans="13:13" ht="14.25" customHeight="1" x14ac:dyDescent="0.35">
      <c r="M586" s="11"/>
    </row>
    <row r="587" spans="13:13" ht="14.25" customHeight="1" x14ac:dyDescent="0.35">
      <c r="M587" s="11"/>
    </row>
    <row r="588" spans="13:13" ht="14.25" customHeight="1" x14ac:dyDescent="0.35">
      <c r="M588" s="11"/>
    </row>
    <row r="589" spans="13:13" ht="14.25" customHeight="1" x14ac:dyDescent="0.35">
      <c r="M589" s="11"/>
    </row>
    <row r="590" spans="13:13" ht="14.25" customHeight="1" x14ac:dyDescent="0.35">
      <c r="M590" s="11"/>
    </row>
    <row r="591" spans="13:13" ht="14.25" customHeight="1" x14ac:dyDescent="0.35">
      <c r="M591" s="11"/>
    </row>
    <row r="592" spans="13:13" ht="14.25" customHeight="1" x14ac:dyDescent="0.35">
      <c r="M592" s="11"/>
    </row>
    <row r="593" spans="13:13" ht="14.25" customHeight="1" x14ac:dyDescent="0.35">
      <c r="M593" s="11"/>
    </row>
    <row r="594" spans="13:13" ht="14.25" customHeight="1" x14ac:dyDescent="0.35">
      <c r="M594" s="11"/>
    </row>
    <row r="595" spans="13:13" ht="14.25" customHeight="1" x14ac:dyDescent="0.35">
      <c r="M595" s="11"/>
    </row>
    <row r="596" spans="13:13" ht="14.25" customHeight="1" x14ac:dyDescent="0.35">
      <c r="M596" s="11"/>
    </row>
    <row r="597" spans="13:13" ht="14.25" customHeight="1" x14ac:dyDescent="0.35">
      <c r="M597" s="11"/>
    </row>
    <row r="598" spans="13:13" ht="14.25" customHeight="1" x14ac:dyDescent="0.35">
      <c r="M598" s="11"/>
    </row>
    <row r="599" spans="13:13" ht="14.25" customHeight="1" x14ac:dyDescent="0.35">
      <c r="M599" s="11"/>
    </row>
    <row r="600" spans="13:13" ht="14.25" customHeight="1" x14ac:dyDescent="0.35">
      <c r="M600" s="11"/>
    </row>
    <row r="601" spans="13:13" ht="14.25" customHeight="1" x14ac:dyDescent="0.35">
      <c r="M601" s="11"/>
    </row>
    <row r="602" spans="13:13" ht="14.25" customHeight="1" x14ac:dyDescent="0.35">
      <c r="M602" s="11"/>
    </row>
    <row r="603" spans="13:13" ht="14.25" customHeight="1" x14ac:dyDescent="0.35">
      <c r="M603" s="11"/>
    </row>
    <row r="604" spans="13:13" ht="14.25" customHeight="1" x14ac:dyDescent="0.35">
      <c r="M604" s="11"/>
    </row>
    <row r="605" spans="13:13" ht="14.25" customHeight="1" x14ac:dyDescent="0.35">
      <c r="M605" s="11"/>
    </row>
    <row r="606" spans="13:13" ht="14.25" customHeight="1" x14ac:dyDescent="0.35">
      <c r="M606" s="11"/>
    </row>
    <row r="607" spans="13:13" ht="14.25" customHeight="1" x14ac:dyDescent="0.35">
      <c r="M607" s="11"/>
    </row>
    <row r="608" spans="13:13" ht="14.25" customHeight="1" x14ac:dyDescent="0.35">
      <c r="M608" s="11"/>
    </row>
    <row r="609" spans="13:13" ht="14.25" customHeight="1" x14ac:dyDescent="0.35">
      <c r="M609" s="11"/>
    </row>
    <row r="610" spans="13:13" ht="14.25" customHeight="1" x14ac:dyDescent="0.35">
      <c r="M610" s="11"/>
    </row>
    <row r="611" spans="13:13" ht="14.25" customHeight="1" x14ac:dyDescent="0.35">
      <c r="M611" s="11"/>
    </row>
    <row r="612" spans="13:13" ht="14.25" customHeight="1" x14ac:dyDescent="0.35">
      <c r="M612" s="11"/>
    </row>
    <row r="613" spans="13:13" ht="14.25" customHeight="1" x14ac:dyDescent="0.35">
      <c r="M613" s="11"/>
    </row>
    <row r="614" spans="13:13" ht="14.25" customHeight="1" x14ac:dyDescent="0.35">
      <c r="M614" s="11"/>
    </row>
    <row r="615" spans="13:13" ht="14.25" customHeight="1" x14ac:dyDescent="0.35">
      <c r="M615" s="11"/>
    </row>
    <row r="616" spans="13:13" ht="14.25" customHeight="1" x14ac:dyDescent="0.35">
      <c r="M616" s="11"/>
    </row>
    <row r="617" spans="13:13" ht="14.25" customHeight="1" x14ac:dyDescent="0.35">
      <c r="M617" s="11"/>
    </row>
    <row r="618" spans="13:13" ht="14.25" customHeight="1" x14ac:dyDescent="0.35">
      <c r="M618" s="11"/>
    </row>
    <row r="619" spans="13:13" ht="14.25" customHeight="1" x14ac:dyDescent="0.35">
      <c r="M619" s="11"/>
    </row>
    <row r="620" spans="13:13" ht="14.25" customHeight="1" x14ac:dyDescent="0.35">
      <c r="M620" s="11"/>
    </row>
    <row r="621" spans="13:13" ht="14.25" customHeight="1" x14ac:dyDescent="0.35">
      <c r="M621" s="11"/>
    </row>
    <row r="622" spans="13:13" ht="14.25" customHeight="1" x14ac:dyDescent="0.35">
      <c r="M622" s="11"/>
    </row>
    <row r="623" spans="13:13" ht="14.25" customHeight="1" x14ac:dyDescent="0.35">
      <c r="M623" s="11"/>
    </row>
    <row r="624" spans="13:13" ht="14.25" customHeight="1" x14ac:dyDescent="0.35">
      <c r="M624" s="11"/>
    </row>
    <row r="625" spans="13:13" ht="14.25" customHeight="1" x14ac:dyDescent="0.35">
      <c r="M625" s="11"/>
    </row>
    <row r="626" spans="13:13" ht="14.25" customHeight="1" x14ac:dyDescent="0.35">
      <c r="M626" s="11"/>
    </row>
    <row r="627" spans="13:13" ht="14.25" customHeight="1" x14ac:dyDescent="0.35">
      <c r="M627" s="11"/>
    </row>
    <row r="628" spans="13:13" ht="14.25" customHeight="1" x14ac:dyDescent="0.35">
      <c r="M628" s="11"/>
    </row>
    <row r="629" spans="13:13" ht="14.25" customHeight="1" x14ac:dyDescent="0.35">
      <c r="M629" s="11"/>
    </row>
    <row r="630" spans="13:13" ht="14.25" customHeight="1" x14ac:dyDescent="0.35">
      <c r="M630" s="11"/>
    </row>
    <row r="631" spans="13:13" ht="14.25" customHeight="1" x14ac:dyDescent="0.35">
      <c r="M631" s="11"/>
    </row>
    <row r="632" spans="13:13" ht="14.25" customHeight="1" x14ac:dyDescent="0.35">
      <c r="M632" s="11"/>
    </row>
    <row r="633" spans="13:13" ht="14.25" customHeight="1" x14ac:dyDescent="0.35">
      <c r="M633" s="11"/>
    </row>
    <row r="634" spans="13:13" ht="14.25" customHeight="1" x14ac:dyDescent="0.35">
      <c r="M634" s="11"/>
    </row>
    <row r="635" spans="13:13" ht="14.25" customHeight="1" x14ac:dyDescent="0.35">
      <c r="M635" s="11"/>
    </row>
    <row r="636" spans="13:13" ht="14.25" customHeight="1" x14ac:dyDescent="0.35">
      <c r="M636" s="11"/>
    </row>
    <row r="637" spans="13:13" ht="14.25" customHeight="1" x14ac:dyDescent="0.35">
      <c r="M637" s="11"/>
    </row>
    <row r="638" spans="13:13" ht="14.25" customHeight="1" x14ac:dyDescent="0.35">
      <c r="M638" s="11"/>
    </row>
    <row r="639" spans="13:13" ht="14.25" customHeight="1" x14ac:dyDescent="0.35">
      <c r="M639" s="11"/>
    </row>
    <row r="640" spans="13:13" ht="14.25" customHeight="1" x14ac:dyDescent="0.35">
      <c r="M640" s="11"/>
    </row>
    <row r="641" spans="13:13" ht="14.25" customHeight="1" x14ac:dyDescent="0.35">
      <c r="M641" s="11"/>
    </row>
    <row r="642" spans="13:13" ht="14.25" customHeight="1" x14ac:dyDescent="0.35">
      <c r="M642" s="11"/>
    </row>
    <row r="643" spans="13:13" ht="14.25" customHeight="1" x14ac:dyDescent="0.35">
      <c r="M643" s="11"/>
    </row>
    <row r="644" spans="13:13" ht="14.25" customHeight="1" x14ac:dyDescent="0.35">
      <c r="M644" s="11"/>
    </row>
    <row r="645" spans="13:13" ht="14.25" customHeight="1" x14ac:dyDescent="0.35">
      <c r="M645" s="11"/>
    </row>
    <row r="646" spans="13:13" ht="14.25" customHeight="1" x14ac:dyDescent="0.35">
      <c r="M646" s="11"/>
    </row>
    <row r="647" spans="13:13" ht="14.25" customHeight="1" x14ac:dyDescent="0.35">
      <c r="M647" s="11"/>
    </row>
    <row r="648" spans="13:13" ht="14.25" customHeight="1" x14ac:dyDescent="0.35">
      <c r="M648" s="11"/>
    </row>
    <row r="649" spans="13:13" ht="14.25" customHeight="1" x14ac:dyDescent="0.35">
      <c r="M649" s="11"/>
    </row>
    <row r="650" spans="13:13" ht="14.25" customHeight="1" x14ac:dyDescent="0.35">
      <c r="M650" s="11"/>
    </row>
    <row r="651" spans="13:13" ht="14.25" customHeight="1" x14ac:dyDescent="0.35">
      <c r="M651" s="11"/>
    </row>
    <row r="652" spans="13:13" ht="14.25" customHeight="1" x14ac:dyDescent="0.35">
      <c r="M652" s="11"/>
    </row>
    <row r="653" spans="13:13" ht="14.25" customHeight="1" x14ac:dyDescent="0.35">
      <c r="M653" s="11"/>
    </row>
    <row r="654" spans="13:13" ht="14.25" customHeight="1" x14ac:dyDescent="0.35">
      <c r="M654" s="11"/>
    </row>
    <row r="655" spans="13:13" ht="14.25" customHeight="1" x14ac:dyDescent="0.35">
      <c r="M655" s="11"/>
    </row>
    <row r="656" spans="13:13" ht="14.25" customHeight="1" x14ac:dyDescent="0.35">
      <c r="M656" s="11"/>
    </row>
    <row r="657" spans="13:13" ht="14.25" customHeight="1" x14ac:dyDescent="0.35">
      <c r="M657" s="11"/>
    </row>
    <row r="658" spans="13:13" ht="14.25" customHeight="1" x14ac:dyDescent="0.35">
      <c r="M658" s="11"/>
    </row>
    <row r="659" spans="13:13" ht="14.25" customHeight="1" x14ac:dyDescent="0.35">
      <c r="M659" s="11"/>
    </row>
    <row r="660" spans="13:13" ht="14.25" customHeight="1" x14ac:dyDescent="0.35">
      <c r="M660" s="11"/>
    </row>
    <row r="661" spans="13:13" ht="14.25" customHeight="1" x14ac:dyDescent="0.35">
      <c r="M661" s="11"/>
    </row>
    <row r="662" spans="13:13" ht="14.25" customHeight="1" x14ac:dyDescent="0.35">
      <c r="M662" s="11"/>
    </row>
    <row r="663" spans="13:13" ht="14.25" customHeight="1" x14ac:dyDescent="0.35">
      <c r="M663" s="11"/>
    </row>
    <row r="664" spans="13:13" ht="14.25" customHeight="1" x14ac:dyDescent="0.35">
      <c r="M664" s="11"/>
    </row>
    <row r="665" spans="13:13" ht="14.25" customHeight="1" x14ac:dyDescent="0.35">
      <c r="M665" s="11"/>
    </row>
    <row r="666" spans="13:13" ht="14.25" customHeight="1" x14ac:dyDescent="0.35">
      <c r="M666" s="11"/>
    </row>
    <row r="667" spans="13:13" ht="14.25" customHeight="1" x14ac:dyDescent="0.35">
      <c r="M667" s="11"/>
    </row>
    <row r="668" spans="13:13" ht="14.25" customHeight="1" x14ac:dyDescent="0.35">
      <c r="M668" s="11"/>
    </row>
    <row r="669" spans="13:13" ht="14.25" customHeight="1" x14ac:dyDescent="0.35">
      <c r="M669" s="11"/>
    </row>
    <row r="670" spans="13:13" ht="14.25" customHeight="1" x14ac:dyDescent="0.35">
      <c r="M670" s="11"/>
    </row>
    <row r="671" spans="13:13" ht="14.25" customHeight="1" x14ac:dyDescent="0.35">
      <c r="M671" s="11"/>
    </row>
    <row r="672" spans="13:13" ht="14.25" customHeight="1" x14ac:dyDescent="0.35">
      <c r="M672" s="11"/>
    </row>
    <row r="673" spans="13:13" ht="14.25" customHeight="1" x14ac:dyDescent="0.35">
      <c r="M673" s="11"/>
    </row>
    <row r="674" spans="13:13" ht="14.25" customHeight="1" x14ac:dyDescent="0.35">
      <c r="M674" s="11"/>
    </row>
    <row r="675" spans="13:13" ht="14.25" customHeight="1" x14ac:dyDescent="0.35">
      <c r="M675" s="11"/>
    </row>
    <row r="676" spans="13:13" ht="14.25" customHeight="1" x14ac:dyDescent="0.35">
      <c r="M676" s="11"/>
    </row>
    <row r="677" spans="13:13" ht="14.25" customHeight="1" x14ac:dyDescent="0.35">
      <c r="M677" s="11"/>
    </row>
    <row r="678" spans="13:13" ht="14.25" customHeight="1" x14ac:dyDescent="0.35">
      <c r="M678" s="11"/>
    </row>
    <row r="679" spans="13:13" ht="14.25" customHeight="1" x14ac:dyDescent="0.35">
      <c r="M679" s="11"/>
    </row>
    <row r="680" spans="13:13" ht="14.25" customHeight="1" x14ac:dyDescent="0.35">
      <c r="M680" s="11"/>
    </row>
    <row r="681" spans="13:13" ht="14.25" customHeight="1" x14ac:dyDescent="0.35">
      <c r="M681" s="11"/>
    </row>
    <row r="682" spans="13:13" ht="14.25" customHeight="1" x14ac:dyDescent="0.35">
      <c r="M682" s="11"/>
    </row>
    <row r="683" spans="13:13" ht="14.25" customHeight="1" x14ac:dyDescent="0.35">
      <c r="M683" s="11"/>
    </row>
    <row r="684" spans="13:13" ht="14.25" customHeight="1" x14ac:dyDescent="0.35">
      <c r="M684" s="11"/>
    </row>
    <row r="685" spans="13:13" ht="14.25" customHeight="1" x14ac:dyDescent="0.35">
      <c r="M685" s="11"/>
    </row>
    <row r="686" spans="13:13" ht="14.25" customHeight="1" x14ac:dyDescent="0.35">
      <c r="M686" s="11"/>
    </row>
    <row r="687" spans="13:13" ht="14.25" customHeight="1" x14ac:dyDescent="0.35">
      <c r="M687" s="11"/>
    </row>
    <row r="688" spans="13:13" ht="14.25" customHeight="1" x14ac:dyDescent="0.35">
      <c r="M688" s="11"/>
    </row>
    <row r="689" spans="13:13" ht="14.25" customHeight="1" x14ac:dyDescent="0.35">
      <c r="M689" s="11"/>
    </row>
    <row r="690" spans="13:13" ht="14.25" customHeight="1" x14ac:dyDescent="0.35">
      <c r="M690" s="11"/>
    </row>
    <row r="691" spans="13:13" ht="14.25" customHeight="1" x14ac:dyDescent="0.35">
      <c r="M691" s="11"/>
    </row>
    <row r="692" spans="13:13" ht="14.25" customHeight="1" x14ac:dyDescent="0.35">
      <c r="M692" s="11"/>
    </row>
    <row r="693" spans="13:13" ht="14.25" customHeight="1" x14ac:dyDescent="0.35">
      <c r="M693" s="11"/>
    </row>
    <row r="694" spans="13:13" ht="14.25" customHeight="1" x14ac:dyDescent="0.35">
      <c r="M694" s="11"/>
    </row>
    <row r="695" spans="13:13" ht="14.25" customHeight="1" x14ac:dyDescent="0.35">
      <c r="M695" s="11"/>
    </row>
    <row r="696" spans="13:13" ht="14.25" customHeight="1" x14ac:dyDescent="0.35">
      <c r="M696" s="11"/>
    </row>
    <row r="697" spans="13:13" ht="14.25" customHeight="1" x14ac:dyDescent="0.35">
      <c r="M697" s="11"/>
    </row>
    <row r="698" spans="13:13" ht="14.25" customHeight="1" x14ac:dyDescent="0.35">
      <c r="M698" s="11"/>
    </row>
    <row r="699" spans="13:13" ht="14.25" customHeight="1" x14ac:dyDescent="0.35">
      <c r="M699" s="11"/>
    </row>
    <row r="700" spans="13:13" ht="14.25" customHeight="1" x14ac:dyDescent="0.35">
      <c r="M700" s="11"/>
    </row>
    <row r="701" spans="13:13" ht="14.25" customHeight="1" x14ac:dyDescent="0.35">
      <c r="M701" s="11"/>
    </row>
    <row r="702" spans="13:13" ht="14.25" customHeight="1" x14ac:dyDescent="0.35">
      <c r="M702" s="11"/>
    </row>
    <row r="703" spans="13:13" ht="14.25" customHeight="1" x14ac:dyDescent="0.35">
      <c r="M703" s="11"/>
    </row>
    <row r="704" spans="13:13" ht="14.25" customHeight="1" x14ac:dyDescent="0.35">
      <c r="M704" s="11"/>
    </row>
    <row r="705" spans="13:13" ht="14.25" customHeight="1" x14ac:dyDescent="0.35">
      <c r="M705" s="11"/>
    </row>
    <row r="706" spans="13:13" ht="14.25" customHeight="1" x14ac:dyDescent="0.35">
      <c r="M706" s="11"/>
    </row>
    <row r="707" spans="13:13" ht="14.25" customHeight="1" x14ac:dyDescent="0.35">
      <c r="M707" s="11"/>
    </row>
    <row r="708" spans="13:13" ht="14.25" customHeight="1" x14ac:dyDescent="0.35">
      <c r="M708" s="11"/>
    </row>
    <row r="709" spans="13:13" ht="14.25" customHeight="1" x14ac:dyDescent="0.35">
      <c r="M709" s="11"/>
    </row>
    <row r="710" spans="13:13" ht="14.25" customHeight="1" x14ac:dyDescent="0.35">
      <c r="M710" s="11"/>
    </row>
    <row r="711" spans="13:13" ht="14.25" customHeight="1" x14ac:dyDescent="0.35">
      <c r="M711" s="11"/>
    </row>
    <row r="712" spans="13:13" ht="14.25" customHeight="1" x14ac:dyDescent="0.35">
      <c r="M712" s="11"/>
    </row>
    <row r="713" spans="13:13" ht="14.25" customHeight="1" x14ac:dyDescent="0.35">
      <c r="M713" s="11"/>
    </row>
    <row r="714" spans="13:13" ht="14.25" customHeight="1" x14ac:dyDescent="0.35">
      <c r="M714" s="11"/>
    </row>
    <row r="715" spans="13:13" ht="14.25" customHeight="1" x14ac:dyDescent="0.35">
      <c r="M715" s="11"/>
    </row>
    <row r="716" spans="13:13" ht="14.25" customHeight="1" x14ac:dyDescent="0.35">
      <c r="M716" s="11"/>
    </row>
    <row r="717" spans="13:13" ht="14.25" customHeight="1" x14ac:dyDescent="0.35">
      <c r="M717" s="11"/>
    </row>
    <row r="718" spans="13:13" ht="14.25" customHeight="1" x14ac:dyDescent="0.35">
      <c r="M718" s="11"/>
    </row>
    <row r="719" spans="13:13" ht="14.25" customHeight="1" x14ac:dyDescent="0.35">
      <c r="M719" s="11"/>
    </row>
    <row r="720" spans="13:13" ht="14.25" customHeight="1" x14ac:dyDescent="0.35">
      <c r="M720" s="11"/>
    </row>
    <row r="721" spans="13:13" ht="14.25" customHeight="1" x14ac:dyDescent="0.35">
      <c r="M721" s="11"/>
    </row>
    <row r="722" spans="13:13" ht="14.25" customHeight="1" x14ac:dyDescent="0.35">
      <c r="M722" s="11"/>
    </row>
    <row r="723" spans="13:13" ht="14.25" customHeight="1" x14ac:dyDescent="0.35">
      <c r="M723" s="11"/>
    </row>
    <row r="724" spans="13:13" ht="14.25" customHeight="1" x14ac:dyDescent="0.35">
      <c r="M724" s="11"/>
    </row>
    <row r="725" spans="13:13" ht="14.25" customHeight="1" x14ac:dyDescent="0.35">
      <c r="M725" s="11"/>
    </row>
    <row r="726" spans="13:13" ht="14.25" customHeight="1" x14ac:dyDescent="0.35">
      <c r="M726" s="11"/>
    </row>
    <row r="727" spans="13:13" ht="14.25" customHeight="1" x14ac:dyDescent="0.35">
      <c r="M727" s="11"/>
    </row>
    <row r="728" spans="13:13" ht="14.25" customHeight="1" x14ac:dyDescent="0.35">
      <c r="M728" s="11"/>
    </row>
    <row r="729" spans="13:13" ht="14.25" customHeight="1" x14ac:dyDescent="0.35">
      <c r="M729" s="11"/>
    </row>
    <row r="730" spans="13:13" ht="14.25" customHeight="1" x14ac:dyDescent="0.35">
      <c r="M730" s="11"/>
    </row>
    <row r="731" spans="13:13" ht="14.25" customHeight="1" x14ac:dyDescent="0.35">
      <c r="M731" s="11"/>
    </row>
    <row r="732" spans="13:13" ht="14.25" customHeight="1" x14ac:dyDescent="0.35">
      <c r="M732" s="11"/>
    </row>
    <row r="733" spans="13:13" ht="14.25" customHeight="1" x14ac:dyDescent="0.35">
      <c r="M733" s="11"/>
    </row>
    <row r="734" spans="13:13" ht="14.25" customHeight="1" x14ac:dyDescent="0.35">
      <c r="M734" s="11"/>
    </row>
    <row r="735" spans="13:13" ht="14.25" customHeight="1" x14ac:dyDescent="0.35">
      <c r="M735" s="11"/>
    </row>
    <row r="736" spans="13:13" ht="14.25" customHeight="1" x14ac:dyDescent="0.35">
      <c r="M736" s="11"/>
    </row>
    <row r="737" spans="13:13" ht="14.25" customHeight="1" x14ac:dyDescent="0.35">
      <c r="M737" s="11"/>
    </row>
    <row r="738" spans="13:13" ht="14.25" customHeight="1" x14ac:dyDescent="0.35">
      <c r="M738" s="11"/>
    </row>
    <row r="739" spans="13:13" ht="14.25" customHeight="1" x14ac:dyDescent="0.35">
      <c r="M739" s="11"/>
    </row>
    <row r="740" spans="13:13" ht="14.25" customHeight="1" x14ac:dyDescent="0.35">
      <c r="M740" s="11"/>
    </row>
    <row r="741" spans="13:13" ht="14.25" customHeight="1" x14ac:dyDescent="0.35">
      <c r="M741" s="11"/>
    </row>
    <row r="742" spans="13:13" ht="14.25" customHeight="1" x14ac:dyDescent="0.35">
      <c r="M742" s="11"/>
    </row>
    <row r="743" spans="13:13" ht="14.25" customHeight="1" x14ac:dyDescent="0.35">
      <c r="M743" s="11"/>
    </row>
    <row r="744" spans="13:13" ht="14.25" customHeight="1" x14ac:dyDescent="0.35">
      <c r="M744" s="11"/>
    </row>
    <row r="745" spans="13:13" ht="14.25" customHeight="1" x14ac:dyDescent="0.35">
      <c r="M745" s="11"/>
    </row>
    <row r="746" spans="13:13" ht="14.25" customHeight="1" x14ac:dyDescent="0.35">
      <c r="M746" s="11"/>
    </row>
    <row r="747" spans="13:13" ht="14.25" customHeight="1" x14ac:dyDescent="0.35">
      <c r="M747" s="11"/>
    </row>
    <row r="748" spans="13:13" ht="14.25" customHeight="1" x14ac:dyDescent="0.35">
      <c r="M748" s="11"/>
    </row>
    <row r="749" spans="13:13" ht="14.25" customHeight="1" x14ac:dyDescent="0.35">
      <c r="M749" s="11"/>
    </row>
    <row r="750" spans="13:13" ht="14.25" customHeight="1" x14ac:dyDescent="0.35">
      <c r="M750" s="11"/>
    </row>
    <row r="751" spans="13:13" ht="14.25" customHeight="1" x14ac:dyDescent="0.35">
      <c r="M751" s="11"/>
    </row>
    <row r="752" spans="13:13" ht="14.25" customHeight="1" x14ac:dyDescent="0.35">
      <c r="M752" s="11"/>
    </row>
    <row r="753" spans="13:13" ht="14.25" customHeight="1" x14ac:dyDescent="0.35">
      <c r="M753" s="11"/>
    </row>
    <row r="754" spans="13:13" ht="14.25" customHeight="1" x14ac:dyDescent="0.35">
      <c r="M754" s="11"/>
    </row>
    <row r="755" spans="13:13" ht="14.25" customHeight="1" x14ac:dyDescent="0.35">
      <c r="M755" s="11"/>
    </row>
    <row r="756" spans="13:13" ht="14.25" customHeight="1" x14ac:dyDescent="0.35">
      <c r="M756" s="11"/>
    </row>
    <row r="757" spans="13:13" ht="14.25" customHeight="1" x14ac:dyDescent="0.35">
      <c r="M757" s="11"/>
    </row>
    <row r="758" spans="13:13" ht="14.25" customHeight="1" x14ac:dyDescent="0.35">
      <c r="M758" s="11"/>
    </row>
    <row r="759" spans="13:13" ht="14.25" customHeight="1" x14ac:dyDescent="0.35">
      <c r="M759" s="11"/>
    </row>
    <row r="760" spans="13:13" ht="14.25" customHeight="1" x14ac:dyDescent="0.35">
      <c r="M760" s="11"/>
    </row>
    <row r="761" spans="13:13" ht="14.25" customHeight="1" x14ac:dyDescent="0.35">
      <c r="M761" s="11"/>
    </row>
    <row r="762" spans="13:13" ht="14.25" customHeight="1" x14ac:dyDescent="0.35">
      <c r="M762" s="11"/>
    </row>
    <row r="763" spans="13:13" ht="14.25" customHeight="1" x14ac:dyDescent="0.35">
      <c r="M763" s="11"/>
    </row>
    <row r="764" spans="13:13" ht="14.25" customHeight="1" x14ac:dyDescent="0.35">
      <c r="M764" s="11"/>
    </row>
    <row r="765" spans="13:13" ht="14.25" customHeight="1" x14ac:dyDescent="0.35">
      <c r="M765" s="11"/>
    </row>
    <row r="766" spans="13:13" ht="14.25" customHeight="1" x14ac:dyDescent="0.35">
      <c r="M766" s="11"/>
    </row>
    <row r="767" spans="13:13" ht="14.25" customHeight="1" x14ac:dyDescent="0.35">
      <c r="M767" s="11"/>
    </row>
    <row r="768" spans="13:13" ht="14.25" customHeight="1" x14ac:dyDescent="0.35">
      <c r="M768" s="11"/>
    </row>
    <row r="769" spans="13:13" ht="14.25" customHeight="1" x14ac:dyDescent="0.35">
      <c r="M769" s="11"/>
    </row>
    <row r="770" spans="13:13" ht="14.25" customHeight="1" x14ac:dyDescent="0.35">
      <c r="M770" s="11"/>
    </row>
    <row r="771" spans="13:13" ht="14.25" customHeight="1" x14ac:dyDescent="0.35">
      <c r="M771" s="11"/>
    </row>
    <row r="772" spans="13:13" ht="14.25" customHeight="1" x14ac:dyDescent="0.35">
      <c r="M772" s="11"/>
    </row>
    <row r="773" spans="13:13" ht="14.25" customHeight="1" x14ac:dyDescent="0.35">
      <c r="M773" s="11"/>
    </row>
    <row r="774" spans="13:13" ht="14.25" customHeight="1" x14ac:dyDescent="0.35">
      <c r="M774" s="11"/>
    </row>
    <row r="775" spans="13:13" ht="14.25" customHeight="1" x14ac:dyDescent="0.35">
      <c r="M775" s="11"/>
    </row>
    <row r="776" spans="13:13" ht="14.25" customHeight="1" x14ac:dyDescent="0.35">
      <c r="M776" s="11"/>
    </row>
    <row r="777" spans="13:13" ht="14.25" customHeight="1" x14ac:dyDescent="0.35">
      <c r="M777" s="11"/>
    </row>
    <row r="778" spans="13:13" ht="14.25" customHeight="1" x14ac:dyDescent="0.35">
      <c r="M778" s="11"/>
    </row>
    <row r="779" spans="13:13" ht="14.25" customHeight="1" x14ac:dyDescent="0.35">
      <c r="M779" s="11"/>
    </row>
    <row r="780" spans="13:13" ht="14.25" customHeight="1" x14ac:dyDescent="0.35">
      <c r="M780" s="11"/>
    </row>
    <row r="781" spans="13:13" ht="14.25" customHeight="1" x14ac:dyDescent="0.35">
      <c r="M781" s="11"/>
    </row>
    <row r="782" spans="13:13" ht="14.25" customHeight="1" x14ac:dyDescent="0.35">
      <c r="M782" s="11"/>
    </row>
    <row r="783" spans="13:13" ht="14.25" customHeight="1" x14ac:dyDescent="0.35">
      <c r="M783" s="11"/>
    </row>
    <row r="784" spans="13:13" ht="14.25" customHeight="1" x14ac:dyDescent="0.35">
      <c r="M784" s="11"/>
    </row>
    <row r="785" spans="13:13" ht="14.25" customHeight="1" x14ac:dyDescent="0.35">
      <c r="M785" s="11"/>
    </row>
    <row r="786" spans="13:13" ht="14.25" customHeight="1" x14ac:dyDescent="0.35">
      <c r="M786" s="11"/>
    </row>
    <row r="787" spans="13:13" ht="14.25" customHeight="1" x14ac:dyDescent="0.35">
      <c r="M787" s="11"/>
    </row>
    <row r="788" spans="13:13" ht="14.25" customHeight="1" x14ac:dyDescent="0.35">
      <c r="M788" s="11"/>
    </row>
    <row r="789" spans="13:13" ht="14.25" customHeight="1" x14ac:dyDescent="0.35">
      <c r="M789" s="11"/>
    </row>
    <row r="790" spans="13:13" ht="14.25" customHeight="1" x14ac:dyDescent="0.35">
      <c r="M790" s="11"/>
    </row>
    <row r="791" spans="13:13" ht="14.25" customHeight="1" x14ac:dyDescent="0.35">
      <c r="M791" s="11"/>
    </row>
    <row r="792" spans="13:13" ht="14.25" customHeight="1" x14ac:dyDescent="0.35">
      <c r="M792" s="11"/>
    </row>
    <row r="793" spans="13:13" ht="14.25" customHeight="1" x14ac:dyDescent="0.35">
      <c r="M793" s="11"/>
    </row>
    <row r="794" spans="13:13" ht="14.25" customHeight="1" x14ac:dyDescent="0.35">
      <c r="M794" s="11"/>
    </row>
    <row r="795" spans="13:13" ht="14.25" customHeight="1" x14ac:dyDescent="0.35">
      <c r="M795" s="11"/>
    </row>
    <row r="796" spans="13:13" ht="14.25" customHeight="1" x14ac:dyDescent="0.35">
      <c r="M796" s="11"/>
    </row>
    <row r="797" spans="13:13" ht="14.25" customHeight="1" x14ac:dyDescent="0.35">
      <c r="M797" s="11"/>
    </row>
    <row r="798" spans="13:13" ht="14.25" customHeight="1" x14ac:dyDescent="0.35">
      <c r="M798" s="11"/>
    </row>
    <row r="799" spans="13:13" ht="14.25" customHeight="1" x14ac:dyDescent="0.35">
      <c r="M799" s="11"/>
    </row>
    <row r="800" spans="13:13" ht="14.25" customHeight="1" x14ac:dyDescent="0.35">
      <c r="M800" s="11"/>
    </row>
    <row r="801" spans="13:13" ht="14.25" customHeight="1" x14ac:dyDescent="0.35">
      <c r="M801" s="11"/>
    </row>
    <row r="802" spans="13:13" ht="14.25" customHeight="1" x14ac:dyDescent="0.35">
      <c r="M802" s="11"/>
    </row>
    <row r="803" spans="13:13" ht="14.25" customHeight="1" x14ac:dyDescent="0.35">
      <c r="M803" s="11"/>
    </row>
    <row r="804" spans="13:13" ht="14.25" customHeight="1" x14ac:dyDescent="0.35">
      <c r="M804" s="11"/>
    </row>
    <row r="805" spans="13:13" ht="14.25" customHeight="1" x14ac:dyDescent="0.35">
      <c r="M805" s="11"/>
    </row>
    <row r="806" spans="13:13" ht="14.25" customHeight="1" x14ac:dyDescent="0.35">
      <c r="M806" s="11"/>
    </row>
    <row r="807" spans="13:13" ht="14.25" customHeight="1" x14ac:dyDescent="0.35">
      <c r="M807" s="11"/>
    </row>
    <row r="808" spans="13:13" ht="14.25" customHeight="1" x14ac:dyDescent="0.35">
      <c r="M808" s="11"/>
    </row>
    <row r="809" spans="13:13" ht="14.25" customHeight="1" x14ac:dyDescent="0.35">
      <c r="M809" s="11"/>
    </row>
    <row r="810" spans="13:13" ht="14.25" customHeight="1" x14ac:dyDescent="0.35">
      <c r="M810" s="11"/>
    </row>
    <row r="811" spans="13:13" ht="14.25" customHeight="1" x14ac:dyDescent="0.35">
      <c r="M811" s="11"/>
    </row>
    <row r="812" spans="13:13" ht="14.25" customHeight="1" x14ac:dyDescent="0.35">
      <c r="M812" s="11"/>
    </row>
    <row r="813" spans="13:13" ht="14.25" customHeight="1" x14ac:dyDescent="0.35">
      <c r="M813" s="11"/>
    </row>
    <row r="814" spans="13:13" ht="14.25" customHeight="1" x14ac:dyDescent="0.35">
      <c r="M814" s="11"/>
    </row>
    <row r="815" spans="13:13" ht="14.25" customHeight="1" x14ac:dyDescent="0.35">
      <c r="M815" s="11"/>
    </row>
    <row r="816" spans="13:13" ht="14.25" customHeight="1" x14ac:dyDescent="0.35">
      <c r="M816" s="11"/>
    </row>
    <row r="817" spans="13:13" ht="14.25" customHeight="1" x14ac:dyDescent="0.35">
      <c r="M817" s="11"/>
    </row>
    <row r="818" spans="13:13" ht="14.25" customHeight="1" x14ac:dyDescent="0.35">
      <c r="M818" s="11"/>
    </row>
    <row r="819" spans="13:13" ht="14.25" customHeight="1" x14ac:dyDescent="0.35">
      <c r="M819" s="11"/>
    </row>
    <row r="820" spans="13:13" ht="14.25" customHeight="1" x14ac:dyDescent="0.35">
      <c r="M820" s="11"/>
    </row>
    <row r="821" spans="13:13" ht="14.25" customHeight="1" x14ac:dyDescent="0.35">
      <c r="M821" s="11"/>
    </row>
    <row r="822" spans="13:13" ht="14.25" customHeight="1" x14ac:dyDescent="0.35">
      <c r="M822" s="11"/>
    </row>
    <row r="823" spans="13:13" ht="14.25" customHeight="1" x14ac:dyDescent="0.35">
      <c r="M823" s="11"/>
    </row>
    <row r="824" spans="13:13" ht="14.25" customHeight="1" x14ac:dyDescent="0.35">
      <c r="M824" s="11"/>
    </row>
    <row r="825" spans="13:13" ht="14.25" customHeight="1" x14ac:dyDescent="0.35">
      <c r="M825" s="11"/>
    </row>
    <row r="826" spans="13:13" ht="14.25" customHeight="1" x14ac:dyDescent="0.35">
      <c r="M826" s="11"/>
    </row>
    <row r="827" spans="13:13" ht="14.25" customHeight="1" x14ac:dyDescent="0.35">
      <c r="M827" s="11"/>
    </row>
    <row r="828" spans="13:13" ht="14.25" customHeight="1" x14ac:dyDescent="0.35">
      <c r="M828" s="11"/>
    </row>
    <row r="829" spans="13:13" ht="14.25" customHeight="1" x14ac:dyDescent="0.35">
      <c r="M829" s="11"/>
    </row>
    <row r="830" spans="13:13" ht="14.25" customHeight="1" x14ac:dyDescent="0.35">
      <c r="M830" s="11"/>
    </row>
    <row r="831" spans="13:13" ht="14.25" customHeight="1" x14ac:dyDescent="0.35">
      <c r="M831" s="11"/>
    </row>
    <row r="832" spans="13:13" ht="14.25" customHeight="1" x14ac:dyDescent="0.35">
      <c r="M832" s="11"/>
    </row>
    <row r="833" spans="13:13" ht="14.25" customHeight="1" x14ac:dyDescent="0.35">
      <c r="M833" s="11"/>
    </row>
    <row r="834" spans="13:13" ht="14.25" customHeight="1" x14ac:dyDescent="0.35">
      <c r="M834" s="11"/>
    </row>
    <row r="835" spans="13:13" ht="14.25" customHeight="1" x14ac:dyDescent="0.35">
      <c r="M835" s="11"/>
    </row>
    <row r="836" spans="13:13" ht="14.25" customHeight="1" x14ac:dyDescent="0.35">
      <c r="M836" s="11"/>
    </row>
    <row r="837" spans="13:13" ht="14.25" customHeight="1" x14ac:dyDescent="0.35">
      <c r="M837" s="11"/>
    </row>
    <row r="838" spans="13:13" ht="14.25" customHeight="1" x14ac:dyDescent="0.35">
      <c r="M838" s="11"/>
    </row>
    <row r="839" spans="13:13" ht="14.25" customHeight="1" x14ac:dyDescent="0.35">
      <c r="M839" s="11"/>
    </row>
    <row r="840" spans="13:13" ht="14.25" customHeight="1" x14ac:dyDescent="0.35">
      <c r="M840" s="11"/>
    </row>
    <row r="841" spans="13:13" ht="14.25" customHeight="1" x14ac:dyDescent="0.35">
      <c r="M841" s="11"/>
    </row>
    <row r="842" spans="13:13" ht="14.25" customHeight="1" x14ac:dyDescent="0.35">
      <c r="M842" s="11"/>
    </row>
    <row r="843" spans="13:13" ht="14.25" customHeight="1" x14ac:dyDescent="0.35">
      <c r="M843" s="11"/>
    </row>
    <row r="844" spans="13:13" ht="14.25" customHeight="1" x14ac:dyDescent="0.35">
      <c r="M844" s="11"/>
    </row>
    <row r="845" spans="13:13" ht="14.25" customHeight="1" x14ac:dyDescent="0.35">
      <c r="M845" s="11"/>
    </row>
    <row r="846" spans="13:13" ht="14.25" customHeight="1" x14ac:dyDescent="0.35">
      <c r="M846" s="11"/>
    </row>
    <row r="847" spans="13:13" ht="14.25" customHeight="1" x14ac:dyDescent="0.35">
      <c r="M847" s="11"/>
    </row>
    <row r="848" spans="13:13" ht="14.25" customHeight="1" x14ac:dyDescent="0.35">
      <c r="M848" s="11"/>
    </row>
    <row r="849" spans="13:13" ht="14.25" customHeight="1" x14ac:dyDescent="0.35">
      <c r="M849" s="11"/>
    </row>
    <row r="850" spans="13:13" ht="14.25" customHeight="1" x14ac:dyDescent="0.35">
      <c r="M850" s="11"/>
    </row>
    <row r="851" spans="13:13" ht="14.25" customHeight="1" x14ac:dyDescent="0.35">
      <c r="M851" s="11"/>
    </row>
    <row r="852" spans="13:13" ht="14.25" customHeight="1" x14ac:dyDescent="0.35">
      <c r="M852" s="11"/>
    </row>
    <row r="853" spans="13:13" ht="14.25" customHeight="1" x14ac:dyDescent="0.35">
      <c r="M853" s="11"/>
    </row>
    <row r="854" spans="13:13" ht="14.25" customHeight="1" x14ac:dyDescent="0.35">
      <c r="M854" s="11"/>
    </row>
    <row r="855" spans="13:13" ht="14.25" customHeight="1" x14ac:dyDescent="0.35">
      <c r="M855" s="11"/>
    </row>
    <row r="856" spans="13:13" ht="14.25" customHeight="1" x14ac:dyDescent="0.35">
      <c r="M856" s="11"/>
    </row>
    <row r="857" spans="13:13" ht="14.25" customHeight="1" x14ac:dyDescent="0.35">
      <c r="M857" s="11"/>
    </row>
    <row r="858" spans="13:13" ht="14.25" customHeight="1" x14ac:dyDescent="0.35">
      <c r="M858" s="11"/>
    </row>
    <row r="859" spans="13:13" ht="14.25" customHeight="1" x14ac:dyDescent="0.35">
      <c r="M859" s="11"/>
    </row>
    <row r="860" spans="13:13" ht="14.25" customHeight="1" x14ac:dyDescent="0.35">
      <c r="M860" s="11"/>
    </row>
    <row r="861" spans="13:13" ht="14.25" customHeight="1" x14ac:dyDescent="0.35">
      <c r="M861" s="11"/>
    </row>
    <row r="862" spans="13:13" ht="14.25" customHeight="1" x14ac:dyDescent="0.35">
      <c r="M862" s="11"/>
    </row>
    <row r="863" spans="13:13" ht="14.25" customHeight="1" x14ac:dyDescent="0.35">
      <c r="M863" s="11"/>
    </row>
    <row r="864" spans="13:13" ht="14.25" customHeight="1" x14ac:dyDescent="0.35">
      <c r="M864" s="11"/>
    </row>
    <row r="865" spans="13:13" ht="14.25" customHeight="1" x14ac:dyDescent="0.35">
      <c r="M865" s="11"/>
    </row>
    <row r="866" spans="13:13" ht="14.25" customHeight="1" x14ac:dyDescent="0.35">
      <c r="M866" s="11"/>
    </row>
    <row r="867" spans="13:13" ht="14.25" customHeight="1" x14ac:dyDescent="0.35">
      <c r="M867" s="11"/>
    </row>
    <row r="868" spans="13:13" ht="14.25" customHeight="1" x14ac:dyDescent="0.35">
      <c r="M868" s="11"/>
    </row>
    <row r="869" spans="13:13" ht="14.25" customHeight="1" x14ac:dyDescent="0.35">
      <c r="M869" s="11"/>
    </row>
    <row r="870" spans="13:13" ht="14.25" customHeight="1" x14ac:dyDescent="0.35">
      <c r="M870" s="11"/>
    </row>
    <row r="871" spans="13:13" ht="14.25" customHeight="1" x14ac:dyDescent="0.35">
      <c r="M871" s="11"/>
    </row>
    <row r="872" spans="13:13" ht="14.25" customHeight="1" x14ac:dyDescent="0.35">
      <c r="M872" s="11"/>
    </row>
    <row r="873" spans="13:13" ht="14.25" customHeight="1" x14ac:dyDescent="0.35">
      <c r="M873" s="11"/>
    </row>
    <row r="874" spans="13:13" ht="14.25" customHeight="1" x14ac:dyDescent="0.35">
      <c r="M874" s="11"/>
    </row>
    <row r="875" spans="13:13" ht="14.25" customHeight="1" x14ac:dyDescent="0.35">
      <c r="M875" s="11"/>
    </row>
    <row r="876" spans="13:13" ht="14.25" customHeight="1" x14ac:dyDescent="0.35">
      <c r="M876" s="11"/>
    </row>
    <row r="877" spans="13:13" ht="14.25" customHeight="1" x14ac:dyDescent="0.35">
      <c r="M877" s="11"/>
    </row>
    <row r="878" spans="13:13" ht="14.25" customHeight="1" x14ac:dyDescent="0.35">
      <c r="M878" s="11"/>
    </row>
    <row r="879" spans="13:13" ht="14.25" customHeight="1" x14ac:dyDescent="0.35">
      <c r="M879" s="11"/>
    </row>
    <row r="880" spans="13:13" ht="14.25" customHeight="1" x14ac:dyDescent="0.35">
      <c r="M880" s="11"/>
    </row>
    <row r="881" spans="13:13" ht="14.25" customHeight="1" x14ac:dyDescent="0.35">
      <c r="M881" s="11"/>
    </row>
    <row r="882" spans="13:13" ht="14.25" customHeight="1" x14ac:dyDescent="0.35">
      <c r="M882" s="11"/>
    </row>
    <row r="883" spans="13:13" ht="14.25" customHeight="1" x14ac:dyDescent="0.35">
      <c r="M883" s="11"/>
    </row>
    <row r="884" spans="13:13" ht="14.25" customHeight="1" x14ac:dyDescent="0.35">
      <c r="M884" s="11"/>
    </row>
    <row r="885" spans="13:13" ht="14.25" customHeight="1" x14ac:dyDescent="0.35">
      <c r="M885" s="11"/>
    </row>
    <row r="886" spans="13:13" ht="14.25" customHeight="1" x14ac:dyDescent="0.35">
      <c r="M886" s="11"/>
    </row>
    <row r="887" spans="13:13" ht="14.25" customHeight="1" x14ac:dyDescent="0.35">
      <c r="M887" s="11"/>
    </row>
    <row r="888" spans="13:13" ht="14.25" customHeight="1" x14ac:dyDescent="0.35">
      <c r="M888" s="11"/>
    </row>
    <row r="889" spans="13:13" ht="14.25" customHeight="1" x14ac:dyDescent="0.35">
      <c r="M889" s="11"/>
    </row>
    <row r="890" spans="13:13" ht="14.25" customHeight="1" x14ac:dyDescent="0.35">
      <c r="M890" s="11"/>
    </row>
    <row r="891" spans="13:13" ht="14.25" customHeight="1" x14ac:dyDescent="0.35">
      <c r="M891" s="11"/>
    </row>
    <row r="892" spans="13:13" ht="14.25" customHeight="1" x14ac:dyDescent="0.35">
      <c r="M892" s="11"/>
    </row>
    <row r="893" spans="13:13" ht="14.25" customHeight="1" x14ac:dyDescent="0.35">
      <c r="M893" s="11"/>
    </row>
    <row r="894" spans="13:13" ht="14.25" customHeight="1" x14ac:dyDescent="0.35">
      <c r="M894" s="11"/>
    </row>
    <row r="895" spans="13:13" ht="14.25" customHeight="1" x14ac:dyDescent="0.35">
      <c r="M895" s="11"/>
    </row>
    <row r="896" spans="13:13" ht="14.25" customHeight="1" x14ac:dyDescent="0.35">
      <c r="M896" s="11"/>
    </row>
    <row r="897" spans="13:13" ht="14.25" customHeight="1" x14ac:dyDescent="0.35">
      <c r="M897" s="11"/>
    </row>
    <row r="898" spans="13:13" ht="14.25" customHeight="1" x14ac:dyDescent="0.35">
      <c r="M898" s="11"/>
    </row>
    <row r="899" spans="13:13" ht="14.25" customHeight="1" x14ac:dyDescent="0.35">
      <c r="M899" s="11"/>
    </row>
    <row r="900" spans="13:13" ht="14.25" customHeight="1" x14ac:dyDescent="0.35">
      <c r="M900" s="11"/>
    </row>
    <row r="901" spans="13:13" ht="14.25" customHeight="1" x14ac:dyDescent="0.35">
      <c r="M901" s="11"/>
    </row>
    <row r="902" spans="13:13" ht="14.25" customHeight="1" x14ac:dyDescent="0.35">
      <c r="M902" s="11"/>
    </row>
    <row r="903" spans="13:13" ht="14.25" customHeight="1" x14ac:dyDescent="0.35">
      <c r="M903" s="11"/>
    </row>
    <row r="904" spans="13:13" ht="14.25" customHeight="1" x14ac:dyDescent="0.35">
      <c r="M904" s="11"/>
    </row>
    <row r="905" spans="13:13" ht="14.25" customHeight="1" x14ac:dyDescent="0.35">
      <c r="M905" s="11"/>
    </row>
    <row r="906" spans="13:13" ht="14.25" customHeight="1" x14ac:dyDescent="0.35">
      <c r="M906" s="11"/>
    </row>
    <row r="907" spans="13:13" ht="14.25" customHeight="1" x14ac:dyDescent="0.35">
      <c r="M907" s="11"/>
    </row>
    <row r="908" spans="13:13" ht="14.25" customHeight="1" x14ac:dyDescent="0.35">
      <c r="M908" s="11"/>
    </row>
    <row r="909" spans="13:13" ht="14.25" customHeight="1" x14ac:dyDescent="0.35">
      <c r="M909" s="11"/>
    </row>
    <row r="910" spans="13:13" ht="14.25" customHeight="1" x14ac:dyDescent="0.35">
      <c r="M910" s="11"/>
    </row>
    <row r="911" spans="13:13" ht="14.25" customHeight="1" x14ac:dyDescent="0.35">
      <c r="M911" s="11"/>
    </row>
    <row r="912" spans="13:13" ht="14.25" customHeight="1" x14ac:dyDescent="0.35">
      <c r="M912" s="11"/>
    </row>
    <row r="913" spans="13:13" ht="14.25" customHeight="1" x14ac:dyDescent="0.35">
      <c r="M913" s="11"/>
    </row>
    <row r="914" spans="13:13" ht="14.25" customHeight="1" x14ac:dyDescent="0.35">
      <c r="M914" s="11"/>
    </row>
    <row r="915" spans="13:13" ht="14.25" customHeight="1" x14ac:dyDescent="0.35">
      <c r="M915" s="11"/>
    </row>
    <row r="916" spans="13:13" ht="14.25" customHeight="1" x14ac:dyDescent="0.35">
      <c r="M916" s="11"/>
    </row>
    <row r="917" spans="13:13" ht="14.25" customHeight="1" x14ac:dyDescent="0.35">
      <c r="M917" s="11"/>
    </row>
    <row r="918" spans="13:13" ht="14.25" customHeight="1" x14ac:dyDescent="0.35">
      <c r="M918" s="11"/>
    </row>
    <row r="919" spans="13:13" ht="14.25" customHeight="1" x14ac:dyDescent="0.35">
      <c r="M919" s="11"/>
    </row>
    <row r="920" spans="13:13" ht="14.25" customHeight="1" x14ac:dyDescent="0.35">
      <c r="M920" s="11"/>
    </row>
    <row r="921" spans="13:13" ht="14.25" customHeight="1" x14ac:dyDescent="0.35">
      <c r="M921" s="11"/>
    </row>
    <row r="922" spans="13:13" ht="14.25" customHeight="1" x14ac:dyDescent="0.35">
      <c r="M922" s="11"/>
    </row>
    <row r="923" spans="13:13" ht="14.25" customHeight="1" x14ac:dyDescent="0.35">
      <c r="M923" s="11"/>
    </row>
    <row r="924" spans="13:13" ht="14.25" customHeight="1" x14ac:dyDescent="0.35">
      <c r="M924" s="11"/>
    </row>
    <row r="925" spans="13:13" ht="14.25" customHeight="1" x14ac:dyDescent="0.35">
      <c r="M925" s="11"/>
    </row>
    <row r="926" spans="13:13" ht="14.25" customHeight="1" x14ac:dyDescent="0.35">
      <c r="M926" s="11"/>
    </row>
    <row r="927" spans="13:13" ht="14.25" customHeight="1" x14ac:dyDescent="0.35">
      <c r="M927" s="11"/>
    </row>
    <row r="928" spans="13:13" ht="14.25" customHeight="1" x14ac:dyDescent="0.35">
      <c r="M928" s="11"/>
    </row>
    <row r="929" spans="13:13" ht="14.25" customHeight="1" x14ac:dyDescent="0.35">
      <c r="M929" s="11"/>
    </row>
    <row r="930" spans="13:13" ht="14.25" customHeight="1" x14ac:dyDescent="0.35">
      <c r="M930" s="11"/>
    </row>
    <row r="931" spans="13:13" ht="14.25" customHeight="1" x14ac:dyDescent="0.35">
      <c r="M931" s="11"/>
    </row>
    <row r="932" spans="13:13" ht="14.25" customHeight="1" x14ac:dyDescent="0.35">
      <c r="M932" s="11"/>
    </row>
    <row r="933" spans="13:13" ht="14.25" customHeight="1" x14ac:dyDescent="0.35">
      <c r="M933" s="11"/>
    </row>
    <row r="934" spans="13:13" ht="14.25" customHeight="1" x14ac:dyDescent="0.35">
      <c r="M934" s="11"/>
    </row>
    <row r="935" spans="13:13" ht="14.25" customHeight="1" x14ac:dyDescent="0.35">
      <c r="M935" s="11"/>
    </row>
    <row r="936" spans="13:13" ht="14.25" customHeight="1" x14ac:dyDescent="0.35">
      <c r="M936" s="11"/>
    </row>
    <row r="937" spans="13:13" ht="14.25" customHeight="1" x14ac:dyDescent="0.35">
      <c r="M937" s="11"/>
    </row>
    <row r="938" spans="13:13" ht="14.25" customHeight="1" x14ac:dyDescent="0.35">
      <c r="M938" s="11"/>
    </row>
    <row r="939" spans="13:13" ht="14.25" customHeight="1" x14ac:dyDescent="0.35">
      <c r="M939" s="11"/>
    </row>
    <row r="940" spans="13:13" ht="14.25" customHeight="1" x14ac:dyDescent="0.35">
      <c r="M940" s="11"/>
    </row>
    <row r="941" spans="13:13" ht="14.25" customHeight="1" x14ac:dyDescent="0.35">
      <c r="M941" s="11"/>
    </row>
    <row r="942" spans="13:13" ht="14.25" customHeight="1" x14ac:dyDescent="0.35">
      <c r="M942" s="11"/>
    </row>
    <row r="943" spans="13:13" ht="14.25" customHeight="1" x14ac:dyDescent="0.35">
      <c r="M943" s="11"/>
    </row>
    <row r="944" spans="13:13" ht="14.25" customHeight="1" x14ac:dyDescent="0.35">
      <c r="M944" s="11"/>
    </row>
    <row r="945" spans="13:13" ht="14.25" customHeight="1" x14ac:dyDescent="0.35">
      <c r="M945" s="11"/>
    </row>
    <row r="946" spans="13:13" ht="14.25" customHeight="1" x14ac:dyDescent="0.35">
      <c r="M946" s="11"/>
    </row>
    <row r="947" spans="13:13" ht="14.25" customHeight="1" x14ac:dyDescent="0.35">
      <c r="M947" s="11"/>
    </row>
    <row r="948" spans="13:13" ht="14.25" customHeight="1" x14ac:dyDescent="0.35">
      <c r="M948" s="11"/>
    </row>
    <row r="949" spans="13:13" ht="14.25" customHeight="1" x14ac:dyDescent="0.35">
      <c r="M949" s="11"/>
    </row>
    <row r="950" spans="13:13" ht="14.25" customHeight="1" x14ac:dyDescent="0.35">
      <c r="M950" s="11"/>
    </row>
    <row r="951" spans="13:13" ht="14.25" customHeight="1" x14ac:dyDescent="0.35">
      <c r="M951" s="11"/>
    </row>
    <row r="952" spans="13:13" ht="14.25" customHeight="1" x14ac:dyDescent="0.35">
      <c r="M952" s="11"/>
    </row>
    <row r="953" spans="13:13" ht="14.25" customHeight="1" x14ac:dyDescent="0.35">
      <c r="M953" s="11"/>
    </row>
    <row r="954" spans="13:13" ht="14.25" customHeight="1" x14ac:dyDescent="0.35">
      <c r="M954" s="11"/>
    </row>
    <row r="955" spans="13:13" ht="14.25" customHeight="1" x14ac:dyDescent="0.35">
      <c r="M955" s="11"/>
    </row>
    <row r="956" spans="13:13" ht="14.25" customHeight="1" x14ac:dyDescent="0.35">
      <c r="M956" s="11"/>
    </row>
    <row r="957" spans="13:13" ht="14.25" customHeight="1" x14ac:dyDescent="0.35">
      <c r="M957" s="11"/>
    </row>
    <row r="958" spans="13:13" ht="14.25" customHeight="1" x14ac:dyDescent="0.35">
      <c r="M958" s="11"/>
    </row>
    <row r="959" spans="13:13" ht="14.25" customHeight="1" x14ac:dyDescent="0.35">
      <c r="M959" s="11"/>
    </row>
    <row r="960" spans="13:13" ht="14.25" customHeight="1" x14ac:dyDescent="0.35">
      <c r="M960" s="11"/>
    </row>
    <row r="961" spans="13:13" ht="14.25" customHeight="1" x14ac:dyDescent="0.35">
      <c r="M961" s="11"/>
    </row>
    <row r="962" spans="13:13" ht="14.25" customHeight="1" x14ac:dyDescent="0.35">
      <c r="M962" s="11"/>
    </row>
    <row r="963" spans="13:13" ht="14.25" customHeight="1" x14ac:dyDescent="0.35">
      <c r="M963" s="11"/>
    </row>
    <row r="964" spans="13:13" ht="14.25" customHeight="1" x14ac:dyDescent="0.35">
      <c r="M964" s="11"/>
    </row>
    <row r="965" spans="13:13" ht="14.25" customHeight="1" x14ac:dyDescent="0.35">
      <c r="M965" s="11"/>
    </row>
    <row r="966" spans="13:13" ht="14.25" customHeight="1" x14ac:dyDescent="0.35">
      <c r="M966" s="11"/>
    </row>
    <row r="967" spans="13:13" ht="14.25" customHeight="1" x14ac:dyDescent="0.35">
      <c r="M967" s="11"/>
    </row>
    <row r="968" spans="13:13" ht="14.25" customHeight="1" x14ac:dyDescent="0.35">
      <c r="M968" s="11"/>
    </row>
    <row r="969" spans="13:13" ht="14.25" customHeight="1" x14ac:dyDescent="0.35">
      <c r="M969" s="11"/>
    </row>
    <row r="970" spans="13:13" ht="14.25" customHeight="1" x14ac:dyDescent="0.35">
      <c r="M970" s="11"/>
    </row>
    <row r="971" spans="13:13" ht="14.25" customHeight="1" x14ac:dyDescent="0.35">
      <c r="M971" s="11"/>
    </row>
    <row r="972" spans="13:13" ht="14.25" customHeight="1" x14ac:dyDescent="0.35">
      <c r="M972" s="11"/>
    </row>
    <row r="973" spans="13:13" ht="14.25" customHeight="1" x14ac:dyDescent="0.35">
      <c r="M973" s="11"/>
    </row>
    <row r="974" spans="13:13" ht="14.25" customHeight="1" x14ac:dyDescent="0.35">
      <c r="M974" s="11"/>
    </row>
    <row r="975" spans="13:13" ht="14.25" customHeight="1" x14ac:dyDescent="0.35">
      <c r="M975" s="11"/>
    </row>
    <row r="976" spans="13:13" ht="14.25" customHeight="1" x14ac:dyDescent="0.35">
      <c r="M976" s="11"/>
    </row>
    <row r="977" spans="13:13" ht="14.25" customHeight="1" x14ac:dyDescent="0.35">
      <c r="M977" s="11"/>
    </row>
    <row r="978" spans="13:13" ht="14.25" customHeight="1" x14ac:dyDescent="0.35">
      <c r="M978" s="11"/>
    </row>
    <row r="979" spans="13:13" ht="14.25" customHeight="1" x14ac:dyDescent="0.35">
      <c r="M979" s="11"/>
    </row>
    <row r="980" spans="13:13" ht="14.25" customHeight="1" x14ac:dyDescent="0.35">
      <c r="M980" s="11"/>
    </row>
    <row r="981" spans="13:13" ht="14.25" customHeight="1" x14ac:dyDescent="0.35">
      <c r="M981" s="11"/>
    </row>
    <row r="982" spans="13:13" ht="14.25" customHeight="1" x14ac:dyDescent="0.35">
      <c r="M982" s="11"/>
    </row>
    <row r="983" spans="13:13" ht="14.25" customHeight="1" x14ac:dyDescent="0.35">
      <c r="M983" s="11"/>
    </row>
    <row r="984" spans="13:13" ht="14.25" customHeight="1" x14ac:dyDescent="0.35">
      <c r="M984" s="11"/>
    </row>
    <row r="985" spans="13:13" ht="14.25" customHeight="1" x14ac:dyDescent="0.35">
      <c r="M985" s="11"/>
    </row>
    <row r="986" spans="13:13" ht="14.25" customHeight="1" x14ac:dyDescent="0.35">
      <c r="M986" s="11"/>
    </row>
    <row r="987" spans="13:13" ht="14.25" customHeight="1" x14ac:dyDescent="0.35">
      <c r="M987" s="11"/>
    </row>
    <row r="988" spans="13:13" ht="14.25" customHeight="1" x14ac:dyDescent="0.35">
      <c r="M988" s="11"/>
    </row>
    <row r="989" spans="13:13" ht="14.25" customHeight="1" x14ac:dyDescent="0.35">
      <c r="M989" s="11"/>
    </row>
    <row r="990" spans="13:13" ht="14.25" customHeight="1" x14ac:dyDescent="0.35">
      <c r="M990" s="11"/>
    </row>
    <row r="991" spans="13:13" ht="14.25" customHeight="1" x14ac:dyDescent="0.35">
      <c r="M991" s="11"/>
    </row>
    <row r="992" spans="13:13" ht="14.25" customHeight="1" x14ac:dyDescent="0.35">
      <c r="M992" s="11"/>
    </row>
    <row r="993" spans="13:13" ht="14.25" customHeight="1" x14ac:dyDescent="0.35">
      <c r="M993" s="11"/>
    </row>
    <row r="994" spans="13:13" ht="14.25" customHeight="1" x14ac:dyDescent="0.35">
      <c r="M994" s="11"/>
    </row>
    <row r="995" spans="13:13" ht="14.25" customHeight="1" x14ac:dyDescent="0.35">
      <c r="M995" s="11"/>
    </row>
    <row r="996" spans="13:13" ht="14.25" customHeight="1" x14ac:dyDescent="0.35">
      <c r="M996" s="11"/>
    </row>
    <row r="997" spans="13:13" ht="14.25" customHeight="1" x14ac:dyDescent="0.35">
      <c r="M997" s="11"/>
    </row>
    <row r="998" spans="13:13" ht="14.25" customHeight="1" x14ac:dyDescent="0.35">
      <c r="M998" s="11"/>
    </row>
    <row r="999" spans="13:13" ht="14.25" customHeight="1" x14ac:dyDescent="0.35">
      <c r="M999" s="11"/>
    </row>
    <row r="1000" spans="13:13" ht="14.25" customHeight="1" x14ac:dyDescent="0.35">
      <c r="M1000" s="11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328125" defaultRowHeight="15" customHeight="1" x14ac:dyDescent="0.35"/>
  <cols>
    <col min="1" max="3" width="8.6328125" customWidth="1"/>
    <col min="4" max="5" width="15.453125" customWidth="1"/>
    <col min="6" max="6" width="8.6328125" customWidth="1"/>
    <col min="7" max="7" width="17.36328125" customWidth="1"/>
    <col min="8" max="8" width="16.453125" customWidth="1"/>
    <col min="9" max="9" width="33.453125" customWidth="1"/>
    <col min="10" max="10" width="20.453125" customWidth="1"/>
    <col min="11" max="11" width="24.453125" customWidth="1"/>
    <col min="12" max="12" width="16.453125" customWidth="1"/>
    <col min="13" max="13" width="19.453125" customWidth="1"/>
    <col min="14" max="14" width="30.08984375" customWidth="1"/>
    <col min="15" max="15" width="8.6328125" customWidth="1"/>
    <col min="16" max="16" width="16.453125" customWidth="1"/>
    <col min="17" max="26" width="8.63281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36</v>
      </c>
      <c r="E1" s="1" t="s">
        <v>19</v>
      </c>
      <c r="F1" s="1" t="s">
        <v>20</v>
      </c>
      <c r="G1" s="1" t="s">
        <v>9</v>
      </c>
      <c r="H1" s="1" t="s">
        <v>21</v>
      </c>
      <c r="I1" s="13" t="s">
        <v>22</v>
      </c>
      <c r="J1" s="1" t="s">
        <v>23</v>
      </c>
      <c r="K1" s="1" t="s">
        <v>12</v>
      </c>
      <c r="L1" s="14" t="s">
        <v>13</v>
      </c>
      <c r="M1" s="14" t="s">
        <v>14</v>
      </c>
      <c r="N1" s="1" t="s">
        <v>24</v>
      </c>
      <c r="O1" s="1" t="s">
        <v>16</v>
      </c>
      <c r="P1" s="1" t="s">
        <v>25</v>
      </c>
      <c r="Q1" s="4"/>
      <c r="R1" s="4"/>
    </row>
    <row r="2" spans="1:26" ht="14.25" customHeight="1" x14ac:dyDescent="0.35">
      <c r="A2" s="23"/>
      <c r="B2" s="23"/>
      <c r="C2" s="23">
        <v>0</v>
      </c>
      <c r="D2" s="23"/>
      <c r="E2" s="24">
        <f>AVERAGE(D3:D10)</f>
        <v>9602.625</v>
      </c>
      <c r="F2" s="23"/>
      <c r="G2" s="23"/>
      <c r="H2" s="23"/>
      <c r="I2" s="25"/>
      <c r="J2" s="23"/>
      <c r="K2" s="23"/>
      <c r="L2" s="26"/>
      <c r="M2" s="26"/>
      <c r="N2" s="23"/>
      <c r="O2" s="23"/>
      <c r="P2" s="23"/>
      <c r="Q2" s="23"/>
      <c r="R2" s="23"/>
      <c r="S2" s="25"/>
      <c r="T2" s="25"/>
      <c r="U2" s="25"/>
      <c r="V2" s="25"/>
      <c r="W2" s="25"/>
      <c r="X2" s="25"/>
      <c r="Y2" s="25"/>
      <c r="Z2" s="25"/>
    </row>
    <row r="3" spans="1:26" ht="14.25" customHeight="1" x14ac:dyDescent="0.35">
      <c r="A3" s="5">
        <v>1</v>
      </c>
      <c r="B3" s="6">
        <v>1</v>
      </c>
      <c r="C3" s="5">
        <v>1</v>
      </c>
      <c r="D3" s="7">
        <v>5086</v>
      </c>
      <c r="E3" s="7">
        <f t="shared" ref="E3:E10" si="0">E2+0.1*(D3-E2)</f>
        <v>9150.9624999999996</v>
      </c>
      <c r="F3" s="29">
        <f t="shared" ref="F3:F11" si="1">E2</f>
        <v>9602.625</v>
      </c>
      <c r="G3" s="29">
        <f t="shared" ref="G3:G10" si="2">F3-D3</f>
        <v>4516.625</v>
      </c>
      <c r="H3" s="18">
        <f t="shared" ref="H3:H10" si="3">ABS(G3)</f>
        <v>4516.625</v>
      </c>
      <c r="I3" s="30">
        <f t="shared" ref="I3:I10" si="4">G3^2</f>
        <v>20399901.390625</v>
      </c>
      <c r="J3" s="30">
        <f t="shared" ref="J3:J10" si="5">AVERAGE($I$3:I3)</f>
        <v>20399901.390625</v>
      </c>
      <c r="K3" s="18">
        <f t="shared" ref="K3:K10" si="6">AVERAGE($H$3:H3)</f>
        <v>4516.625</v>
      </c>
      <c r="L3" s="11">
        <f t="shared" ref="L3:L10" si="7">G3/D3</f>
        <v>0.88805053086905228</v>
      </c>
      <c r="M3" s="11">
        <f t="shared" ref="M3:M10" si="8">ABS(L3)</f>
        <v>0.88805053086905228</v>
      </c>
      <c r="N3" s="11">
        <f t="shared" ref="N3:N10" si="9">AVERAGE($M$3:M3)</f>
        <v>0.88805053086905228</v>
      </c>
      <c r="O3" s="29">
        <f>G3</f>
        <v>4516.625</v>
      </c>
      <c r="P3" s="18">
        <f t="shared" ref="P3:P10" si="10">O3/K3</f>
        <v>1</v>
      </c>
    </row>
    <row r="4" spans="1:26" ht="14.25" customHeight="1" x14ac:dyDescent="0.35">
      <c r="A4" s="5">
        <v>1</v>
      </c>
      <c r="B4" s="6">
        <v>2</v>
      </c>
      <c r="C4" s="5">
        <v>2</v>
      </c>
      <c r="D4" s="7">
        <v>10171</v>
      </c>
      <c r="E4" s="7">
        <f t="shared" si="0"/>
        <v>9252.9662499999995</v>
      </c>
      <c r="F4" s="29">
        <f t="shared" si="1"/>
        <v>9150.9624999999996</v>
      </c>
      <c r="G4" s="29">
        <f t="shared" si="2"/>
        <v>-1020.0375000000004</v>
      </c>
      <c r="H4" s="18">
        <f t="shared" si="3"/>
        <v>1020.0375000000004</v>
      </c>
      <c r="I4" s="30">
        <f t="shared" si="4"/>
        <v>1040476.5014062508</v>
      </c>
      <c r="J4" s="30">
        <f t="shared" si="5"/>
        <v>10720188.946015626</v>
      </c>
      <c r="K4" s="18">
        <f t="shared" si="6"/>
        <v>2768.3312500000002</v>
      </c>
      <c r="L4" s="11">
        <f t="shared" si="7"/>
        <v>-0.10028881132631996</v>
      </c>
      <c r="M4" s="11">
        <f t="shared" si="8"/>
        <v>0.10028881132631996</v>
      </c>
      <c r="N4" s="11">
        <f t="shared" si="9"/>
        <v>0.49416967109768611</v>
      </c>
      <c r="O4" s="29">
        <f t="shared" ref="O4:O10" si="11">G4+O3</f>
        <v>3496.5874999999996</v>
      </c>
      <c r="P4" s="18">
        <f t="shared" si="10"/>
        <v>1.2630668746740477</v>
      </c>
    </row>
    <row r="5" spans="1:26" ht="14.25" customHeight="1" x14ac:dyDescent="0.35">
      <c r="A5" s="5">
        <v>1</v>
      </c>
      <c r="B5" s="6">
        <v>3</v>
      </c>
      <c r="C5" s="5">
        <v>3</v>
      </c>
      <c r="D5" s="7">
        <v>6781</v>
      </c>
      <c r="E5" s="7">
        <f t="shared" si="0"/>
        <v>9005.769624999999</v>
      </c>
      <c r="F5" s="29">
        <f t="shared" si="1"/>
        <v>9252.9662499999995</v>
      </c>
      <c r="G5" s="29">
        <f t="shared" si="2"/>
        <v>2471.9662499999995</v>
      </c>
      <c r="H5" s="18">
        <f t="shared" si="3"/>
        <v>2471.9662499999995</v>
      </c>
      <c r="I5" s="30">
        <f t="shared" si="4"/>
        <v>6110617.1411390603</v>
      </c>
      <c r="J5" s="30">
        <f t="shared" si="5"/>
        <v>9183665.0110567715</v>
      </c>
      <c r="K5" s="18">
        <f t="shared" si="6"/>
        <v>2669.5429166666668</v>
      </c>
      <c r="L5" s="11">
        <f t="shared" si="7"/>
        <v>0.36454302462763599</v>
      </c>
      <c r="M5" s="11">
        <f t="shared" si="8"/>
        <v>0.36454302462763599</v>
      </c>
      <c r="N5" s="11">
        <f t="shared" si="9"/>
        <v>0.45096078894100272</v>
      </c>
      <c r="O5" s="29">
        <f t="shared" si="11"/>
        <v>5968.5537499999991</v>
      </c>
      <c r="P5" s="18">
        <f t="shared" si="10"/>
        <v>2.2357961405065749</v>
      </c>
    </row>
    <row r="6" spans="1:26" ht="14.25" customHeight="1" x14ac:dyDescent="0.35">
      <c r="A6" s="5">
        <v>1</v>
      </c>
      <c r="B6" s="6">
        <v>4</v>
      </c>
      <c r="C6" s="5">
        <v>4</v>
      </c>
      <c r="D6" s="7">
        <v>11866</v>
      </c>
      <c r="E6" s="7">
        <f t="shared" si="0"/>
        <v>9291.7926625</v>
      </c>
      <c r="F6" s="29">
        <f t="shared" si="1"/>
        <v>9005.769624999999</v>
      </c>
      <c r="G6" s="29">
        <f t="shared" si="2"/>
        <v>-2860.230375000001</v>
      </c>
      <c r="H6" s="18">
        <f t="shared" si="3"/>
        <v>2860.230375000001</v>
      </c>
      <c r="I6" s="30">
        <f t="shared" si="4"/>
        <v>8180917.7980726464</v>
      </c>
      <c r="J6" s="30">
        <f t="shared" si="5"/>
        <v>8932978.2078107391</v>
      </c>
      <c r="K6" s="18">
        <f t="shared" si="6"/>
        <v>2717.2147812500002</v>
      </c>
      <c r="L6" s="11">
        <f t="shared" si="7"/>
        <v>-0.24104419138715666</v>
      </c>
      <c r="M6" s="11">
        <f t="shared" si="8"/>
        <v>0.24104419138715666</v>
      </c>
      <c r="N6" s="11">
        <f t="shared" si="9"/>
        <v>0.39848163955254118</v>
      </c>
      <c r="O6" s="29">
        <f t="shared" si="11"/>
        <v>3108.3233749999981</v>
      </c>
      <c r="P6" s="18">
        <f t="shared" si="10"/>
        <v>1.1439373127398034</v>
      </c>
    </row>
    <row r="7" spans="1:26" ht="14.25" customHeight="1" x14ac:dyDescent="0.35">
      <c r="A7" s="5">
        <v>2</v>
      </c>
      <c r="B7" s="6">
        <v>1</v>
      </c>
      <c r="C7" s="5">
        <v>5</v>
      </c>
      <c r="D7" s="7">
        <v>6438</v>
      </c>
      <c r="E7" s="7">
        <f t="shared" si="0"/>
        <v>9006.41339625</v>
      </c>
      <c r="F7" s="29">
        <f t="shared" si="1"/>
        <v>9291.7926625</v>
      </c>
      <c r="G7" s="29">
        <f t="shared" si="2"/>
        <v>2853.7926625</v>
      </c>
      <c r="H7" s="18">
        <f t="shared" si="3"/>
        <v>2853.7926625</v>
      </c>
      <c r="I7" s="19">
        <f t="shared" si="4"/>
        <v>8144132.5605388386</v>
      </c>
      <c r="J7" s="30">
        <f t="shared" si="5"/>
        <v>8775209.0783563592</v>
      </c>
      <c r="K7" s="18">
        <f t="shared" si="6"/>
        <v>2744.5303575000003</v>
      </c>
      <c r="L7" s="11">
        <f t="shared" si="7"/>
        <v>0.44327316907424669</v>
      </c>
      <c r="M7" s="11">
        <f t="shared" si="8"/>
        <v>0.44327316907424669</v>
      </c>
      <c r="N7" s="11">
        <f t="shared" si="9"/>
        <v>0.40743994545688234</v>
      </c>
      <c r="O7" s="29">
        <f t="shared" si="11"/>
        <v>5962.1160374999981</v>
      </c>
      <c r="P7" s="18">
        <f t="shared" si="10"/>
        <v>2.1723629404234046</v>
      </c>
    </row>
    <row r="8" spans="1:26" ht="14.25" customHeight="1" x14ac:dyDescent="0.35">
      <c r="A8" s="5">
        <v>2</v>
      </c>
      <c r="B8" s="6">
        <v>2</v>
      </c>
      <c r="C8" s="5">
        <v>6</v>
      </c>
      <c r="D8" s="7">
        <v>12875</v>
      </c>
      <c r="E8" s="7">
        <f t="shared" si="0"/>
        <v>9393.2720566249991</v>
      </c>
      <c r="F8" s="29">
        <f t="shared" si="1"/>
        <v>9006.41339625</v>
      </c>
      <c r="G8" s="29">
        <f t="shared" si="2"/>
        <v>-3868.58660375</v>
      </c>
      <c r="H8" s="18">
        <f t="shared" si="3"/>
        <v>3868.58660375</v>
      </c>
      <c r="I8" s="19">
        <f t="shared" si="4"/>
        <v>14965962.31071396</v>
      </c>
      <c r="J8" s="30">
        <f t="shared" si="5"/>
        <v>9807001.2837492917</v>
      </c>
      <c r="K8" s="18">
        <f t="shared" si="6"/>
        <v>2931.8730652083336</v>
      </c>
      <c r="L8" s="11">
        <f t="shared" si="7"/>
        <v>-0.30047274592233009</v>
      </c>
      <c r="M8" s="11">
        <f t="shared" si="8"/>
        <v>0.30047274592233009</v>
      </c>
      <c r="N8" s="11">
        <f t="shared" si="9"/>
        <v>0.38961207886779031</v>
      </c>
      <c r="O8" s="29">
        <f t="shared" si="11"/>
        <v>2093.5294337499981</v>
      </c>
      <c r="P8" s="18">
        <f t="shared" si="10"/>
        <v>0.71405868780381043</v>
      </c>
    </row>
    <row r="9" spans="1:26" ht="14.25" customHeight="1" x14ac:dyDescent="0.35">
      <c r="A9" s="5">
        <v>2</v>
      </c>
      <c r="B9" s="6">
        <v>3</v>
      </c>
      <c r="C9" s="5">
        <v>7</v>
      </c>
      <c r="D9" s="7">
        <v>8583</v>
      </c>
      <c r="E9" s="7">
        <f t="shared" si="0"/>
        <v>9312.2448509624992</v>
      </c>
      <c r="F9" s="29">
        <f t="shared" si="1"/>
        <v>9393.2720566249991</v>
      </c>
      <c r="G9" s="29">
        <f t="shared" si="2"/>
        <v>810.2720566249991</v>
      </c>
      <c r="H9" s="18">
        <f t="shared" si="3"/>
        <v>810.2720566249991</v>
      </c>
      <c r="I9" s="19">
        <f t="shared" si="4"/>
        <v>656540.80574730574</v>
      </c>
      <c r="J9" s="30">
        <f t="shared" si="5"/>
        <v>8499792.6440347228</v>
      </c>
      <c r="K9" s="18">
        <f t="shared" si="6"/>
        <v>2628.7872068392858</v>
      </c>
      <c r="L9" s="11">
        <f t="shared" si="7"/>
        <v>9.4404294142490866E-2</v>
      </c>
      <c r="M9" s="11">
        <f t="shared" si="8"/>
        <v>9.4404294142490866E-2</v>
      </c>
      <c r="N9" s="11">
        <f t="shared" si="9"/>
        <v>0.34743953819274748</v>
      </c>
      <c r="O9" s="29">
        <f t="shared" si="11"/>
        <v>2903.8014903749972</v>
      </c>
      <c r="P9" s="18">
        <f t="shared" si="10"/>
        <v>1.1046164112561907</v>
      </c>
    </row>
    <row r="10" spans="1:26" ht="14.25" customHeight="1" x14ac:dyDescent="0.35">
      <c r="A10" s="5">
        <v>2</v>
      </c>
      <c r="B10" s="6">
        <v>4</v>
      </c>
      <c r="C10" s="5">
        <v>8</v>
      </c>
      <c r="D10" s="7">
        <v>15021</v>
      </c>
      <c r="E10" s="7">
        <f t="shared" si="0"/>
        <v>9883.1203658662489</v>
      </c>
      <c r="F10" s="29">
        <f t="shared" si="1"/>
        <v>9312.2448509624992</v>
      </c>
      <c r="G10" s="29">
        <f t="shared" si="2"/>
        <v>-5708.7551490375008</v>
      </c>
      <c r="H10" s="18">
        <f t="shared" si="3"/>
        <v>5708.7551490375008</v>
      </c>
      <c r="I10" s="19">
        <f t="shared" si="4"/>
        <v>32589885.351662178</v>
      </c>
      <c r="J10" s="30">
        <f t="shared" si="5"/>
        <v>11511054.232488155</v>
      </c>
      <c r="K10" s="18">
        <f t="shared" si="6"/>
        <v>3013.7831996140626</v>
      </c>
      <c r="L10" s="11">
        <f t="shared" si="7"/>
        <v>-0.38005160435640112</v>
      </c>
      <c r="M10" s="11">
        <f t="shared" si="8"/>
        <v>0.38005160435640112</v>
      </c>
      <c r="N10" s="11">
        <f t="shared" si="9"/>
        <v>0.35151604646320422</v>
      </c>
      <c r="O10" s="29">
        <f t="shared" si="11"/>
        <v>-2804.9536586625036</v>
      </c>
      <c r="P10" s="18">
        <f t="shared" si="10"/>
        <v>-0.93070850584796505</v>
      </c>
    </row>
    <row r="11" spans="1:26" ht="14.25" customHeight="1" x14ac:dyDescent="0.35">
      <c r="A11" s="5">
        <v>3</v>
      </c>
      <c r="B11" s="6">
        <v>1</v>
      </c>
      <c r="C11" s="5">
        <v>9</v>
      </c>
      <c r="E11" s="19"/>
      <c r="F11" s="29">
        <f t="shared" si="1"/>
        <v>9883.1203658662489</v>
      </c>
      <c r="L11" s="11"/>
      <c r="M11" s="11"/>
    </row>
    <row r="12" spans="1:26" ht="14.25" customHeight="1" x14ac:dyDescent="0.35">
      <c r="A12" s="5">
        <v>3</v>
      </c>
      <c r="B12" s="6">
        <v>2</v>
      </c>
      <c r="C12" s="5">
        <v>10</v>
      </c>
      <c r="E12" s="19"/>
      <c r="F12" s="35">
        <v>1844</v>
      </c>
      <c r="L12" s="11"/>
      <c r="M12" s="11"/>
    </row>
    <row r="13" spans="1:26" ht="14.25" customHeight="1" x14ac:dyDescent="0.35">
      <c r="A13" s="5">
        <v>3</v>
      </c>
      <c r="B13" s="6">
        <v>3</v>
      </c>
      <c r="C13" s="5">
        <v>11</v>
      </c>
      <c r="E13" s="19"/>
      <c r="F13" s="35">
        <v>1844</v>
      </c>
      <c r="L13" s="11"/>
      <c r="M13" s="11"/>
    </row>
    <row r="14" spans="1:26" ht="14.25" customHeight="1" x14ac:dyDescent="0.35">
      <c r="A14" s="5">
        <v>3</v>
      </c>
      <c r="B14" s="6">
        <v>4</v>
      </c>
      <c r="C14" s="5">
        <v>12</v>
      </c>
      <c r="E14" s="19"/>
      <c r="F14" s="35">
        <v>1844</v>
      </c>
      <c r="L14" s="11"/>
      <c r="M14" s="11"/>
    </row>
    <row r="15" spans="1:26" ht="14.25" customHeight="1" x14ac:dyDescent="0.35">
      <c r="A15" s="5">
        <v>4</v>
      </c>
      <c r="B15" s="6">
        <v>1</v>
      </c>
      <c r="C15" s="5">
        <v>13</v>
      </c>
      <c r="E15" s="19"/>
      <c r="F15" s="35">
        <v>1844</v>
      </c>
      <c r="L15" s="11"/>
      <c r="M15" s="11"/>
    </row>
    <row r="16" spans="1:26" ht="14.25" customHeight="1" x14ac:dyDescent="0.35">
      <c r="A16" s="5">
        <v>4</v>
      </c>
      <c r="B16" s="6">
        <v>2</v>
      </c>
      <c r="C16" s="5">
        <v>14</v>
      </c>
      <c r="E16" s="19"/>
      <c r="F16" s="35">
        <v>1844</v>
      </c>
      <c r="L16" s="11"/>
      <c r="M16" s="11"/>
    </row>
    <row r="17" spans="1:13" ht="14.25" customHeight="1" x14ac:dyDescent="0.35">
      <c r="A17" s="5">
        <v>4</v>
      </c>
      <c r="B17" s="6">
        <v>3</v>
      </c>
      <c r="C17" s="5">
        <v>15</v>
      </c>
      <c r="E17" s="19"/>
      <c r="F17" s="35">
        <v>1844</v>
      </c>
      <c r="L17" s="11"/>
      <c r="M17" s="11"/>
    </row>
    <row r="18" spans="1:13" ht="14.25" customHeight="1" x14ac:dyDescent="0.35">
      <c r="A18" s="5">
        <v>4</v>
      </c>
      <c r="B18" s="6">
        <v>4</v>
      </c>
      <c r="C18" s="5">
        <v>16</v>
      </c>
      <c r="E18" s="19"/>
      <c r="F18" s="35">
        <v>1844</v>
      </c>
      <c r="L18" s="11"/>
      <c r="M18" s="11"/>
    </row>
    <row r="19" spans="1:13" ht="14.25" customHeight="1" x14ac:dyDescent="0.35">
      <c r="L19" s="11"/>
      <c r="M19" s="11"/>
    </row>
    <row r="20" spans="1:13" ht="14.25" customHeight="1" x14ac:dyDescent="0.35">
      <c r="L20" s="11"/>
      <c r="M20" s="11"/>
    </row>
    <row r="21" spans="1:13" ht="14.25" customHeight="1" x14ac:dyDescent="0.35">
      <c r="L21" s="11"/>
      <c r="M21" s="11"/>
    </row>
    <row r="22" spans="1:13" ht="14.25" customHeight="1" x14ac:dyDescent="0.35">
      <c r="L22" s="11"/>
      <c r="M22" s="11"/>
    </row>
    <row r="23" spans="1:13" ht="14.25" customHeight="1" x14ac:dyDescent="0.35">
      <c r="L23" s="11"/>
      <c r="M23" s="11"/>
    </row>
    <row r="24" spans="1:13" ht="14.25" customHeight="1" x14ac:dyDescent="0.35">
      <c r="L24" s="11"/>
      <c r="M24" s="11"/>
    </row>
    <row r="25" spans="1:13" ht="14.25" customHeight="1" x14ac:dyDescent="0.35">
      <c r="L25" s="11"/>
      <c r="M25" s="11"/>
    </row>
    <row r="26" spans="1:13" ht="14.25" customHeight="1" x14ac:dyDescent="0.35">
      <c r="L26" s="11"/>
      <c r="M26" s="11"/>
    </row>
    <row r="27" spans="1:13" ht="14.25" customHeight="1" x14ac:dyDescent="0.35">
      <c r="L27" s="11"/>
      <c r="M27" s="11"/>
    </row>
    <row r="28" spans="1:13" ht="14.25" customHeight="1" x14ac:dyDescent="0.35">
      <c r="L28" s="11"/>
      <c r="M28" s="11"/>
    </row>
    <row r="29" spans="1:13" ht="14.25" customHeight="1" x14ac:dyDescent="0.35">
      <c r="L29" s="11"/>
      <c r="M29" s="11"/>
    </row>
    <row r="30" spans="1:13" ht="14.25" customHeight="1" x14ac:dyDescent="0.35">
      <c r="L30" s="11"/>
      <c r="M30" s="11"/>
    </row>
    <row r="31" spans="1:13" ht="14.25" customHeight="1" x14ac:dyDescent="0.35">
      <c r="L31" s="11"/>
      <c r="M31" s="11"/>
    </row>
    <row r="32" spans="1:13" ht="14.25" customHeight="1" x14ac:dyDescent="0.35">
      <c r="L32" s="11"/>
      <c r="M32" s="11"/>
    </row>
    <row r="33" spans="12:13" ht="14.25" customHeight="1" x14ac:dyDescent="0.35">
      <c r="L33" s="11"/>
      <c r="M33" s="11"/>
    </row>
    <row r="34" spans="12:13" ht="14.25" customHeight="1" x14ac:dyDescent="0.35">
      <c r="L34" s="11"/>
      <c r="M34" s="11"/>
    </row>
    <row r="35" spans="12:13" ht="14.25" customHeight="1" x14ac:dyDescent="0.35">
      <c r="L35" s="11"/>
      <c r="M35" s="11"/>
    </row>
    <row r="36" spans="12:13" ht="14.25" customHeight="1" x14ac:dyDescent="0.35">
      <c r="L36" s="11"/>
      <c r="M36" s="11"/>
    </row>
    <row r="37" spans="12:13" ht="14.25" customHeight="1" x14ac:dyDescent="0.35">
      <c r="L37" s="11"/>
      <c r="M37" s="11"/>
    </row>
    <row r="38" spans="12:13" ht="14.25" customHeight="1" x14ac:dyDescent="0.35">
      <c r="L38" s="11"/>
      <c r="M38" s="11"/>
    </row>
    <row r="39" spans="12:13" ht="14.25" customHeight="1" x14ac:dyDescent="0.35">
      <c r="L39" s="11"/>
      <c r="M39" s="11"/>
    </row>
    <row r="40" spans="12:13" ht="14.25" customHeight="1" x14ac:dyDescent="0.35">
      <c r="L40" s="11"/>
      <c r="M40" s="11"/>
    </row>
    <row r="41" spans="12:13" ht="14.25" customHeight="1" x14ac:dyDescent="0.35">
      <c r="L41" s="11"/>
      <c r="M41" s="11"/>
    </row>
    <row r="42" spans="12:13" ht="14.25" customHeight="1" x14ac:dyDescent="0.35">
      <c r="L42" s="11"/>
      <c r="M42" s="11"/>
    </row>
    <row r="43" spans="12:13" ht="14.25" customHeight="1" x14ac:dyDescent="0.35">
      <c r="L43" s="11"/>
      <c r="M43" s="11"/>
    </row>
    <row r="44" spans="12:13" ht="14.25" customHeight="1" x14ac:dyDescent="0.35">
      <c r="L44" s="11"/>
      <c r="M44" s="11"/>
    </row>
    <row r="45" spans="12:13" ht="14.25" customHeight="1" x14ac:dyDescent="0.35">
      <c r="L45" s="11"/>
      <c r="M45" s="11"/>
    </row>
    <row r="46" spans="12:13" ht="14.25" customHeight="1" x14ac:dyDescent="0.35">
      <c r="L46" s="11"/>
      <c r="M46" s="11"/>
    </row>
    <row r="47" spans="12:13" ht="14.25" customHeight="1" x14ac:dyDescent="0.35">
      <c r="L47" s="11"/>
      <c r="M47" s="11"/>
    </row>
    <row r="48" spans="12:13" ht="14.25" customHeight="1" x14ac:dyDescent="0.35">
      <c r="L48" s="11"/>
      <c r="M48" s="11"/>
    </row>
    <row r="49" spans="12:13" ht="14.25" customHeight="1" x14ac:dyDescent="0.35">
      <c r="L49" s="11"/>
      <c r="M49" s="11"/>
    </row>
    <row r="50" spans="12:13" ht="14.25" customHeight="1" x14ac:dyDescent="0.35">
      <c r="L50" s="11"/>
      <c r="M50" s="11"/>
    </row>
    <row r="51" spans="12:13" ht="14.25" customHeight="1" x14ac:dyDescent="0.35">
      <c r="L51" s="11"/>
      <c r="M51" s="11"/>
    </row>
    <row r="52" spans="12:13" ht="14.25" customHeight="1" x14ac:dyDescent="0.35">
      <c r="L52" s="11"/>
      <c r="M52" s="11"/>
    </row>
    <row r="53" spans="12:13" ht="14.25" customHeight="1" x14ac:dyDescent="0.35">
      <c r="L53" s="11"/>
      <c r="M53" s="11"/>
    </row>
    <row r="54" spans="12:13" ht="14.25" customHeight="1" x14ac:dyDescent="0.35">
      <c r="L54" s="11"/>
      <c r="M54" s="11"/>
    </row>
    <row r="55" spans="12:13" ht="14.25" customHeight="1" x14ac:dyDescent="0.35">
      <c r="L55" s="11"/>
      <c r="M55" s="11"/>
    </row>
    <row r="56" spans="12:13" ht="14.25" customHeight="1" x14ac:dyDescent="0.35">
      <c r="L56" s="11"/>
      <c r="M56" s="11"/>
    </row>
    <row r="57" spans="12:13" ht="14.25" customHeight="1" x14ac:dyDescent="0.35">
      <c r="L57" s="11"/>
      <c r="M57" s="11"/>
    </row>
    <row r="58" spans="12:13" ht="14.25" customHeight="1" x14ac:dyDescent="0.35">
      <c r="L58" s="11"/>
      <c r="M58" s="11"/>
    </row>
    <row r="59" spans="12:13" ht="14.25" customHeight="1" x14ac:dyDescent="0.35">
      <c r="L59" s="11"/>
      <c r="M59" s="11"/>
    </row>
    <row r="60" spans="12:13" ht="14.25" customHeight="1" x14ac:dyDescent="0.35">
      <c r="L60" s="11"/>
      <c r="M60" s="11"/>
    </row>
    <row r="61" spans="12:13" ht="14.25" customHeight="1" x14ac:dyDescent="0.35">
      <c r="L61" s="11"/>
      <c r="M61" s="11"/>
    </row>
    <row r="62" spans="12:13" ht="14.25" customHeight="1" x14ac:dyDescent="0.35">
      <c r="L62" s="11"/>
      <c r="M62" s="11"/>
    </row>
    <row r="63" spans="12:13" ht="14.25" customHeight="1" x14ac:dyDescent="0.35">
      <c r="L63" s="11"/>
      <c r="M63" s="11"/>
    </row>
    <row r="64" spans="12:13" ht="14.25" customHeight="1" x14ac:dyDescent="0.35">
      <c r="L64" s="11"/>
      <c r="M64" s="11"/>
    </row>
    <row r="65" spans="12:13" ht="14.25" customHeight="1" x14ac:dyDescent="0.35">
      <c r="L65" s="11"/>
      <c r="M65" s="11"/>
    </row>
    <row r="66" spans="12:13" ht="14.25" customHeight="1" x14ac:dyDescent="0.35">
      <c r="L66" s="11"/>
      <c r="M66" s="11"/>
    </row>
    <row r="67" spans="12:13" ht="14.25" customHeight="1" x14ac:dyDescent="0.35">
      <c r="L67" s="11"/>
      <c r="M67" s="11"/>
    </row>
    <row r="68" spans="12:13" ht="14.25" customHeight="1" x14ac:dyDescent="0.35">
      <c r="L68" s="11"/>
      <c r="M68" s="11"/>
    </row>
    <row r="69" spans="12:13" ht="14.25" customHeight="1" x14ac:dyDescent="0.35">
      <c r="L69" s="11"/>
      <c r="M69" s="11"/>
    </row>
    <row r="70" spans="12:13" ht="14.25" customHeight="1" x14ac:dyDescent="0.35">
      <c r="L70" s="11"/>
      <c r="M70" s="11"/>
    </row>
    <row r="71" spans="12:13" ht="14.25" customHeight="1" x14ac:dyDescent="0.35">
      <c r="L71" s="11"/>
      <c r="M71" s="11"/>
    </row>
    <row r="72" spans="12:13" ht="14.25" customHeight="1" x14ac:dyDescent="0.35">
      <c r="L72" s="11"/>
      <c r="M72" s="11"/>
    </row>
    <row r="73" spans="12:13" ht="14.25" customHeight="1" x14ac:dyDescent="0.35">
      <c r="L73" s="11"/>
      <c r="M73" s="11"/>
    </row>
    <row r="74" spans="12:13" ht="14.25" customHeight="1" x14ac:dyDescent="0.35">
      <c r="L74" s="11"/>
      <c r="M74" s="11"/>
    </row>
    <row r="75" spans="12:13" ht="14.25" customHeight="1" x14ac:dyDescent="0.35">
      <c r="L75" s="11"/>
      <c r="M75" s="11"/>
    </row>
    <row r="76" spans="12:13" ht="14.25" customHeight="1" x14ac:dyDescent="0.35">
      <c r="L76" s="11"/>
      <c r="M76" s="11"/>
    </row>
    <row r="77" spans="12:13" ht="14.25" customHeight="1" x14ac:dyDescent="0.35">
      <c r="L77" s="11"/>
      <c r="M77" s="11"/>
    </row>
    <row r="78" spans="12:13" ht="14.25" customHeight="1" x14ac:dyDescent="0.35">
      <c r="L78" s="11"/>
      <c r="M78" s="11"/>
    </row>
    <row r="79" spans="12:13" ht="14.25" customHeight="1" x14ac:dyDescent="0.35">
      <c r="L79" s="11"/>
      <c r="M79" s="11"/>
    </row>
    <row r="80" spans="12:13" ht="14.25" customHeight="1" x14ac:dyDescent="0.35">
      <c r="L80" s="11"/>
      <c r="M80" s="11"/>
    </row>
    <row r="81" spans="12:13" ht="14.25" customHeight="1" x14ac:dyDescent="0.35">
      <c r="L81" s="11"/>
      <c r="M81" s="11"/>
    </row>
    <row r="82" spans="12:13" ht="14.25" customHeight="1" x14ac:dyDescent="0.35">
      <c r="L82" s="11"/>
      <c r="M82" s="11"/>
    </row>
    <row r="83" spans="12:13" ht="14.25" customHeight="1" x14ac:dyDescent="0.35">
      <c r="L83" s="11"/>
      <c r="M83" s="11"/>
    </row>
    <row r="84" spans="12:13" ht="14.25" customHeight="1" x14ac:dyDescent="0.35">
      <c r="L84" s="11"/>
      <c r="M84" s="11"/>
    </row>
    <row r="85" spans="12:13" ht="14.25" customHeight="1" x14ac:dyDescent="0.35">
      <c r="L85" s="11"/>
      <c r="M85" s="11"/>
    </row>
    <row r="86" spans="12:13" ht="14.25" customHeight="1" x14ac:dyDescent="0.35">
      <c r="L86" s="11"/>
      <c r="M86" s="11"/>
    </row>
    <row r="87" spans="12:13" ht="14.25" customHeight="1" x14ac:dyDescent="0.35">
      <c r="L87" s="11"/>
      <c r="M87" s="11"/>
    </row>
    <row r="88" spans="12:13" ht="14.25" customHeight="1" x14ac:dyDescent="0.35">
      <c r="L88" s="11"/>
      <c r="M88" s="11"/>
    </row>
    <row r="89" spans="12:13" ht="14.25" customHeight="1" x14ac:dyDescent="0.35">
      <c r="L89" s="11"/>
      <c r="M89" s="11"/>
    </row>
    <row r="90" spans="12:13" ht="14.25" customHeight="1" x14ac:dyDescent="0.35">
      <c r="L90" s="11"/>
      <c r="M90" s="11"/>
    </row>
    <row r="91" spans="12:13" ht="14.25" customHeight="1" x14ac:dyDescent="0.35">
      <c r="L91" s="11"/>
      <c r="M91" s="11"/>
    </row>
    <row r="92" spans="12:13" ht="14.25" customHeight="1" x14ac:dyDescent="0.35">
      <c r="L92" s="11"/>
      <c r="M92" s="11"/>
    </row>
    <row r="93" spans="12:13" ht="14.25" customHeight="1" x14ac:dyDescent="0.35">
      <c r="L93" s="11"/>
      <c r="M93" s="11"/>
    </row>
    <row r="94" spans="12:13" ht="14.25" customHeight="1" x14ac:dyDescent="0.35">
      <c r="L94" s="11"/>
      <c r="M94" s="11"/>
    </row>
    <row r="95" spans="12:13" ht="14.25" customHeight="1" x14ac:dyDescent="0.35">
      <c r="L95" s="11"/>
      <c r="M95" s="11"/>
    </row>
    <row r="96" spans="12:13" ht="14.25" customHeight="1" x14ac:dyDescent="0.35">
      <c r="L96" s="11"/>
      <c r="M96" s="11"/>
    </row>
    <row r="97" spans="12:13" ht="14.25" customHeight="1" x14ac:dyDescent="0.35">
      <c r="L97" s="11"/>
      <c r="M97" s="11"/>
    </row>
    <row r="98" spans="12:13" ht="14.25" customHeight="1" x14ac:dyDescent="0.35">
      <c r="L98" s="11"/>
      <c r="M98" s="11"/>
    </row>
    <row r="99" spans="12:13" ht="14.25" customHeight="1" x14ac:dyDescent="0.35">
      <c r="L99" s="11"/>
      <c r="M99" s="11"/>
    </row>
    <row r="100" spans="12:13" ht="14.25" customHeight="1" x14ac:dyDescent="0.35">
      <c r="L100" s="11"/>
      <c r="M100" s="11"/>
    </row>
    <row r="101" spans="12:13" ht="14.25" customHeight="1" x14ac:dyDescent="0.35">
      <c r="L101" s="11"/>
      <c r="M101" s="11"/>
    </row>
    <row r="102" spans="12:13" ht="14.25" customHeight="1" x14ac:dyDescent="0.35">
      <c r="L102" s="11"/>
      <c r="M102" s="11"/>
    </row>
    <row r="103" spans="12:13" ht="14.25" customHeight="1" x14ac:dyDescent="0.35">
      <c r="L103" s="11"/>
      <c r="M103" s="11"/>
    </row>
    <row r="104" spans="12:13" ht="14.25" customHeight="1" x14ac:dyDescent="0.35">
      <c r="L104" s="11"/>
      <c r="M104" s="11"/>
    </row>
    <row r="105" spans="12:13" ht="14.25" customHeight="1" x14ac:dyDescent="0.35">
      <c r="L105" s="11"/>
      <c r="M105" s="11"/>
    </row>
    <row r="106" spans="12:13" ht="14.25" customHeight="1" x14ac:dyDescent="0.35">
      <c r="L106" s="11"/>
      <c r="M106" s="11"/>
    </row>
    <row r="107" spans="12:13" ht="14.25" customHeight="1" x14ac:dyDescent="0.35">
      <c r="L107" s="11"/>
      <c r="M107" s="11"/>
    </row>
    <row r="108" spans="12:13" ht="14.25" customHeight="1" x14ac:dyDescent="0.35">
      <c r="L108" s="11"/>
      <c r="M108" s="11"/>
    </row>
    <row r="109" spans="12:13" ht="14.25" customHeight="1" x14ac:dyDescent="0.35">
      <c r="L109" s="11"/>
      <c r="M109" s="11"/>
    </row>
    <row r="110" spans="12:13" ht="14.25" customHeight="1" x14ac:dyDescent="0.35">
      <c r="L110" s="11"/>
      <c r="M110" s="11"/>
    </row>
    <row r="111" spans="12:13" ht="14.25" customHeight="1" x14ac:dyDescent="0.35">
      <c r="L111" s="11"/>
      <c r="M111" s="11"/>
    </row>
    <row r="112" spans="12:13" ht="14.25" customHeight="1" x14ac:dyDescent="0.35">
      <c r="L112" s="11"/>
      <c r="M112" s="11"/>
    </row>
    <row r="113" spans="12:13" ht="14.25" customHeight="1" x14ac:dyDescent="0.35">
      <c r="L113" s="11"/>
      <c r="M113" s="11"/>
    </row>
    <row r="114" spans="12:13" ht="14.25" customHeight="1" x14ac:dyDescent="0.35">
      <c r="L114" s="11"/>
      <c r="M114" s="11"/>
    </row>
    <row r="115" spans="12:13" ht="14.25" customHeight="1" x14ac:dyDescent="0.35">
      <c r="L115" s="11"/>
      <c r="M115" s="11"/>
    </row>
    <row r="116" spans="12:13" ht="14.25" customHeight="1" x14ac:dyDescent="0.35">
      <c r="L116" s="11"/>
      <c r="M116" s="11"/>
    </row>
    <row r="117" spans="12:13" ht="14.25" customHeight="1" x14ac:dyDescent="0.35">
      <c r="L117" s="11"/>
      <c r="M117" s="11"/>
    </row>
    <row r="118" spans="12:13" ht="14.25" customHeight="1" x14ac:dyDescent="0.35">
      <c r="L118" s="11"/>
      <c r="M118" s="11"/>
    </row>
    <row r="119" spans="12:13" ht="14.25" customHeight="1" x14ac:dyDescent="0.35">
      <c r="L119" s="11"/>
      <c r="M119" s="11"/>
    </row>
    <row r="120" spans="12:13" ht="14.25" customHeight="1" x14ac:dyDescent="0.35">
      <c r="L120" s="11"/>
      <c r="M120" s="11"/>
    </row>
    <row r="121" spans="12:13" ht="14.25" customHeight="1" x14ac:dyDescent="0.35">
      <c r="L121" s="11"/>
      <c r="M121" s="11"/>
    </row>
    <row r="122" spans="12:13" ht="14.25" customHeight="1" x14ac:dyDescent="0.35">
      <c r="L122" s="11"/>
      <c r="M122" s="11"/>
    </row>
    <row r="123" spans="12:13" ht="14.25" customHeight="1" x14ac:dyDescent="0.35">
      <c r="L123" s="11"/>
      <c r="M123" s="11"/>
    </row>
    <row r="124" spans="12:13" ht="14.25" customHeight="1" x14ac:dyDescent="0.35">
      <c r="L124" s="11"/>
      <c r="M124" s="11"/>
    </row>
    <row r="125" spans="12:13" ht="14.25" customHeight="1" x14ac:dyDescent="0.35">
      <c r="L125" s="11"/>
      <c r="M125" s="11"/>
    </row>
    <row r="126" spans="12:13" ht="14.25" customHeight="1" x14ac:dyDescent="0.35">
      <c r="L126" s="11"/>
      <c r="M126" s="11"/>
    </row>
    <row r="127" spans="12:13" ht="14.25" customHeight="1" x14ac:dyDescent="0.35">
      <c r="L127" s="11"/>
      <c r="M127" s="11"/>
    </row>
    <row r="128" spans="12:13" ht="14.25" customHeight="1" x14ac:dyDescent="0.35">
      <c r="L128" s="11"/>
      <c r="M128" s="11"/>
    </row>
    <row r="129" spans="12:13" ht="14.25" customHeight="1" x14ac:dyDescent="0.35">
      <c r="L129" s="11"/>
      <c r="M129" s="11"/>
    </row>
    <row r="130" spans="12:13" ht="14.25" customHeight="1" x14ac:dyDescent="0.35">
      <c r="L130" s="11"/>
      <c r="M130" s="11"/>
    </row>
    <row r="131" spans="12:13" ht="14.25" customHeight="1" x14ac:dyDescent="0.35">
      <c r="L131" s="11"/>
      <c r="M131" s="11"/>
    </row>
    <row r="132" spans="12:13" ht="14.25" customHeight="1" x14ac:dyDescent="0.35">
      <c r="L132" s="11"/>
      <c r="M132" s="11"/>
    </row>
    <row r="133" spans="12:13" ht="14.25" customHeight="1" x14ac:dyDescent="0.35">
      <c r="L133" s="11"/>
      <c r="M133" s="11"/>
    </row>
    <row r="134" spans="12:13" ht="14.25" customHeight="1" x14ac:dyDescent="0.35">
      <c r="L134" s="11"/>
      <c r="M134" s="11"/>
    </row>
    <row r="135" spans="12:13" ht="14.25" customHeight="1" x14ac:dyDescent="0.35">
      <c r="L135" s="11"/>
      <c r="M135" s="11"/>
    </row>
    <row r="136" spans="12:13" ht="14.25" customHeight="1" x14ac:dyDescent="0.35">
      <c r="L136" s="11"/>
      <c r="M136" s="11"/>
    </row>
    <row r="137" spans="12:13" ht="14.25" customHeight="1" x14ac:dyDescent="0.35">
      <c r="L137" s="11"/>
      <c r="M137" s="11"/>
    </row>
    <row r="138" spans="12:13" ht="14.25" customHeight="1" x14ac:dyDescent="0.35">
      <c r="L138" s="11"/>
      <c r="M138" s="11"/>
    </row>
    <row r="139" spans="12:13" ht="14.25" customHeight="1" x14ac:dyDescent="0.35">
      <c r="L139" s="11"/>
      <c r="M139" s="11"/>
    </row>
    <row r="140" spans="12:13" ht="14.25" customHeight="1" x14ac:dyDescent="0.35">
      <c r="L140" s="11"/>
      <c r="M140" s="11"/>
    </row>
    <row r="141" spans="12:13" ht="14.25" customHeight="1" x14ac:dyDescent="0.35">
      <c r="L141" s="11"/>
      <c r="M141" s="11"/>
    </row>
    <row r="142" spans="12:13" ht="14.25" customHeight="1" x14ac:dyDescent="0.35">
      <c r="L142" s="11"/>
      <c r="M142" s="11"/>
    </row>
    <row r="143" spans="12:13" ht="14.25" customHeight="1" x14ac:dyDescent="0.35">
      <c r="L143" s="11"/>
      <c r="M143" s="11"/>
    </row>
    <row r="144" spans="12:13" ht="14.25" customHeight="1" x14ac:dyDescent="0.35">
      <c r="L144" s="11"/>
      <c r="M144" s="11"/>
    </row>
    <row r="145" spans="12:13" ht="14.25" customHeight="1" x14ac:dyDescent="0.35">
      <c r="L145" s="11"/>
      <c r="M145" s="11"/>
    </row>
    <row r="146" spans="12:13" ht="14.25" customHeight="1" x14ac:dyDescent="0.35">
      <c r="L146" s="11"/>
      <c r="M146" s="11"/>
    </row>
    <row r="147" spans="12:13" ht="14.25" customHeight="1" x14ac:dyDescent="0.35">
      <c r="L147" s="11"/>
      <c r="M147" s="11"/>
    </row>
    <row r="148" spans="12:13" ht="14.25" customHeight="1" x14ac:dyDescent="0.35">
      <c r="L148" s="11"/>
      <c r="M148" s="11"/>
    </row>
    <row r="149" spans="12:13" ht="14.25" customHeight="1" x14ac:dyDescent="0.35">
      <c r="L149" s="11"/>
      <c r="M149" s="11"/>
    </row>
    <row r="150" spans="12:13" ht="14.25" customHeight="1" x14ac:dyDescent="0.35">
      <c r="L150" s="11"/>
      <c r="M150" s="11"/>
    </row>
    <row r="151" spans="12:13" ht="14.25" customHeight="1" x14ac:dyDescent="0.35">
      <c r="L151" s="11"/>
      <c r="M151" s="11"/>
    </row>
    <row r="152" spans="12:13" ht="14.25" customHeight="1" x14ac:dyDescent="0.35">
      <c r="L152" s="11"/>
      <c r="M152" s="11"/>
    </row>
    <row r="153" spans="12:13" ht="14.25" customHeight="1" x14ac:dyDescent="0.35">
      <c r="L153" s="11"/>
      <c r="M153" s="11"/>
    </row>
    <row r="154" spans="12:13" ht="14.25" customHeight="1" x14ac:dyDescent="0.35">
      <c r="L154" s="11"/>
      <c r="M154" s="11"/>
    </row>
    <row r="155" spans="12:13" ht="14.25" customHeight="1" x14ac:dyDescent="0.35">
      <c r="L155" s="11"/>
      <c r="M155" s="11"/>
    </row>
    <row r="156" spans="12:13" ht="14.25" customHeight="1" x14ac:dyDescent="0.35">
      <c r="L156" s="11"/>
      <c r="M156" s="11"/>
    </row>
    <row r="157" spans="12:13" ht="14.25" customHeight="1" x14ac:dyDescent="0.35">
      <c r="L157" s="11"/>
      <c r="M157" s="11"/>
    </row>
    <row r="158" spans="12:13" ht="14.25" customHeight="1" x14ac:dyDescent="0.35">
      <c r="L158" s="11"/>
      <c r="M158" s="11"/>
    </row>
    <row r="159" spans="12:13" ht="14.25" customHeight="1" x14ac:dyDescent="0.35">
      <c r="L159" s="11"/>
      <c r="M159" s="11"/>
    </row>
    <row r="160" spans="12:13" ht="14.25" customHeight="1" x14ac:dyDescent="0.35">
      <c r="L160" s="11"/>
      <c r="M160" s="11"/>
    </row>
    <row r="161" spans="12:13" ht="14.25" customHeight="1" x14ac:dyDescent="0.35">
      <c r="L161" s="11"/>
      <c r="M161" s="11"/>
    </row>
    <row r="162" spans="12:13" ht="14.25" customHeight="1" x14ac:dyDescent="0.35">
      <c r="L162" s="11"/>
      <c r="M162" s="11"/>
    </row>
    <row r="163" spans="12:13" ht="14.25" customHeight="1" x14ac:dyDescent="0.35">
      <c r="L163" s="11"/>
      <c r="M163" s="11"/>
    </row>
    <row r="164" spans="12:13" ht="14.25" customHeight="1" x14ac:dyDescent="0.35">
      <c r="L164" s="11"/>
      <c r="M164" s="11"/>
    </row>
    <row r="165" spans="12:13" ht="14.25" customHeight="1" x14ac:dyDescent="0.35">
      <c r="L165" s="11"/>
      <c r="M165" s="11"/>
    </row>
    <row r="166" spans="12:13" ht="14.25" customHeight="1" x14ac:dyDescent="0.35">
      <c r="L166" s="11"/>
      <c r="M166" s="11"/>
    </row>
    <row r="167" spans="12:13" ht="14.25" customHeight="1" x14ac:dyDescent="0.35">
      <c r="L167" s="11"/>
      <c r="M167" s="11"/>
    </row>
    <row r="168" spans="12:13" ht="14.25" customHeight="1" x14ac:dyDescent="0.35">
      <c r="L168" s="11"/>
      <c r="M168" s="11"/>
    </row>
    <row r="169" spans="12:13" ht="14.25" customHeight="1" x14ac:dyDescent="0.35">
      <c r="L169" s="11"/>
      <c r="M169" s="11"/>
    </row>
    <row r="170" spans="12:13" ht="14.25" customHeight="1" x14ac:dyDescent="0.35">
      <c r="L170" s="11"/>
      <c r="M170" s="11"/>
    </row>
    <row r="171" spans="12:13" ht="14.25" customHeight="1" x14ac:dyDescent="0.35">
      <c r="L171" s="11"/>
      <c r="M171" s="11"/>
    </row>
    <row r="172" spans="12:13" ht="14.25" customHeight="1" x14ac:dyDescent="0.35">
      <c r="L172" s="11"/>
      <c r="M172" s="11"/>
    </row>
    <row r="173" spans="12:13" ht="14.25" customHeight="1" x14ac:dyDescent="0.35">
      <c r="L173" s="11"/>
      <c r="M173" s="11"/>
    </row>
    <row r="174" spans="12:13" ht="14.25" customHeight="1" x14ac:dyDescent="0.35">
      <c r="L174" s="11"/>
      <c r="M174" s="11"/>
    </row>
    <row r="175" spans="12:13" ht="14.25" customHeight="1" x14ac:dyDescent="0.35">
      <c r="L175" s="11"/>
      <c r="M175" s="11"/>
    </row>
    <row r="176" spans="12:13" ht="14.25" customHeight="1" x14ac:dyDescent="0.35">
      <c r="L176" s="11"/>
      <c r="M176" s="11"/>
    </row>
    <row r="177" spans="12:13" ht="14.25" customHeight="1" x14ac:dyDescent="0.35">
      <c r="L177" s="11"/>
      <c r="M177" s="11"/>
    </row>
    <row r="178" spans="12:13" ht="14.25" customHeight="1" x14ac:dyDescent="0.35">
      <c r="L178" s="11"/>
      <c r="M178" s="11"/>
    </row>
    <row r="179" spans="12:13" ht="14.25" customHeight="1" x14ac:dyDescent="0.35">
      <c r="L179" s="11"/>
      <c r="M179" s="11"/>
    </row>
    <row r="180" spans="12:13" ht="14.25" customHeight="1" x14ac:dyDescent="0.35">
      <c r="L180" s="11"/>
      <c r="M180" s="11"/>
    </row>
    <row r="181" spans="12:13" ht="14.25" customHeight="1" x14ac:dyDescent="0.35">
      <c r="L181" s="11"/>
      <c r="M181" s="11"/>
    </row>
    <row r="182" spans="12:13" ht="14.25" customHeight="1" x14ac:dyDescent="0.35">
      <c r="L182" s="11"/>
      <c r="M182" s="11"/>
    </row>
    <row r="183" spans="12:13" ht="14.25" customHeight="1" x14ac:dyDescent="0.35">
      <c r="L183" s="11"/>
      <c r="M183" s="11"/>
    </row>
    <row r="184" spans="12:13" ht="14.25" customHeight="1" x14ac:dyDescent="0.35">
      <c r="L184" s="11"/>
      <c r="M184" s="11"/>
    </row>
    <row r="185" spans="12:13" ht="14.25" customHeight="1" x14ac:dyDescent="0.35">
      <c r="L185" s="11"/>
      <c r="M185" s="11"/>
    </row>
    <row r="186" spans="12:13" ht="14.25" customHeight="1" x14ac:dyDescent="0.35">
      <c r="L186" s="11"/>
      <c r="M186" s="11"/>
    </row>
    <row r="187" spans="12:13" ht="14.25" customHeight="1" x14ac:dyDescent="0.35">
      <c r="L187" s="11"/>
      <c r="M187" s="11"/>
    </row>
    <row r="188" spans="12:13" ht="14.25" customHeight="1" x14ac:dyDescent="0.35">
      <c r="L188" s="11"/>
      <c r="M188" s="11"/>
    </row>
    <row r="189" spans="12:13" ht="14.25" customHeight="1" x14ac:dyDescent="0.35">
      <c r="L189" s="11"/>
      <c r="M189" s="11"/>
    </row>
    <row r="190" spans="12:13" ht="14.25" customHeight="1" x14ac:dyDescent="0.35">
      <c r="L190" s="11"/>
      <c r="M190" s="11"/>
    </row>
    <row r="191" spans="12:13" ht="14.25" customHeight="1" x14ac:dyDescent="0.35">
      <c r="L191" s="11"/>
      <c r="M191" s="11"/>
    </row>
    <row r="192" spans="12:13" ht="14.25" customHeight="1" x14ac:dyDescent="0.35">
      <c r="L192" s="11"/>
      <c r="M192" s="11"/>
    </row>
    <row r="193" spans="12:13" ht="14.25" customHeight="1" x14ac:dyDescent="0.35">
      <c r="L193" s="11"/>
      <c r="M193" s="11"/>
    </row>
    <row r="194" spans="12:13" ht="14.25" customHeight="1" x14ac:dyDescent="0.35">
      <c r="L194" s="11"/>
      <c r="M194" s="11"/>
    </row>
    <row r="195" spans="12:13" ht="14.25" customHeight="1" x14ac:dyDescent="0.35">
      <c r="L195" s="11"/>
      <c r="M195" s="11"/>
    </row>
    <row r="196" spans="12:13" ht="14.25" customHeight="1" x14ac:dyDescent="0.35">
      <c r="L196" s="11"/>
      <c r="M196" s="11"/>
    </row>
    <row r="197" spans="12:13" ht="14.25" customHeight="1" x14ac:dyDescent="0.35">
      <c r="L197" s="11"/>
      <c r="M197" s="11"/>
    </row>
    <row r="198" spans="12:13" ht="14.25" customHeight="1" x14ac:dyDescent="0.35">
      <c r="L198" s="11"/>
      <c r="M198" s="11"/>
    </row>
    <row r="199" spans="12:13" ht="14.25" customHeight="1" x14ac:dyDescent="0.35">
      <c r="L199" s="11"/>
      <c r="M199" s="11"/>
    </row>
    <row r="200" spans="12:13" ht="14.25" customHeight="1" x14ac:dyDescent="0.35">
      <c r="L200" s="11"/>
      <c r="M200" s="11"/>
    </row>
    <row r="201" spans="12:13" ht="14.25" customHeight="1" x14ac:dyDescent="0.35">
      <c r="L201" s="11"/>
      <c r="M201" s="11"/>
    </row>
    <row r="202" spans="12:13" ht="14.25" customHeight="1" x14ac:dyDescent="0.35">
      <c r="L202" s="11"/>
      <c r="M202" s="11"/>
    </row>
    <row r="203" spans="12:13" ht="14.25" customHeight="1" x14ac:dyDescent="0.35">
      <c r="L203" s="11"/>
      <c r="M203" s="11"/>
    </row>
    <row r="204" spans="12:13" ht="14.25" customHeight="1" x14ac:dyDescent="0.35">
      <c r="L204" s="11"/>
      <c r="M204" s="11"/>
    </row>
    <row r="205" spans="12:13" ht="14.25" customHeight="1" x14ac:dyDescent="0.35">
      <c r="L205" s="11"/>
      <c r="M205" s="11"/>
    </row>
    <row r="206" spans="12:13" ht="14.25" customHeight="1" x14ac:dyDescent="0.35">
      <c r="L206" s="11"/>
      <c r="M206" s="11"/>
    </row>
    <row r="207" spans="12:13" ht="14.25" customHeight="1" x14ac:dyDescent="0.35">
      <c r="L207" s="11"/>
      <c r="M207" s="11"/>
    </row>
    <row r="208" spans="12:13" ht="14.25" customHeight="1" x14ac:dyDescent="0.35">
      <c r="L208" s="11"/>
      <c r="M208" s="11"/>
    </row>
    <row r="209" spans="12:13" ht="14.25" customHeight="1" x14ac:dyDescent="0.35">
      <c r="L209" s="11"/>
      <c r="M209" s="11"/>
    </row>
    <row r="210" spans="12:13" ht="14.25" customHeight="1" x14ac:dyDescent="0.35">
      <c r="L210" s="11"/>
      <c r="M210" s="11"/>
    </row>
    <row r="211" spans="12:13" ht="14.25" customHeight="1" x14ac:dyDescent="0.35">
      <c r="L211" s="11"/>
      <c r="M211" s="11"/>
    </row>
    <row r="212" spans="12:13" ht="14.25" customHeight="1" x14ac:dyDescent="0.35">
      <c r="L212" s="11"/>
      <c r="M212" s="11"/>
    </row>
    <row r="213" spans="12:13" ht="14.25" customHeight="1" x14ac:dyDescent="0.35">
      <c r="L213" s="11"/>
      <c r="M213" s="11"/>
    </row>
    <row r="214" spans="12:13" ht="14.25" customHeight="1" x14ac:dyDescent="0.35">
      <c r="L214" s="11"/>
      <c r="M214" s="11"/>
    </row>
    <row r="215" spans="12:13" ht="14.25" customHeight="1" x14ac:dyDescent="0.35">
      <c r="L215" s="11"/>
      <c r="M215" s="11"/>
    </row>
    <row r="216" spans="12:13" ht="14.25" customHeight="1" x14ac:dyDescent="0.35">
      <c r="L216" s="11"/>
      <c r="M216" s="11"/>
    </row>
    <row r="217" spans="12:13" ht="14.25" customHeight="1" x14ac:dyDescent="0.35">
      <c r="L217" s="11"/>
      <c r="M217" s="11"/>
    </row>
    <row r="218" spans="12:13" ht="14.25" customHeight="1" x14ac:dyDescent="0.35">
      <c r="L218" s="11"/>
      <c r="M218" s="11"/>
    </row>
    <row r="219" spans="12:13" ht="14.25" customHeight="1" x14ac:dyDescent="0.35">
      <c r="L219" s="11"/>
      <c r="M219" s="11"/>
    </row>
    <row r="220" spans="12:13" ht="14.25" customHeight="1" x14ac:dyDescent="0.35">
      <c r="L220" s="11"/>
      <c r="M220" s="11"/>
    </row>
    <row r="221" spans="12:13" ht="14.25" customHeight="1" x14ac:dyDescent="0.35">
      <c r="L221" s="11"/>
      <c r="M221" s="11"/>
    </row>
    <row r="222" spans="12:13" ht="14.25" customHeight="1" x14ac:dyDescent="0.35">
      <c r="L222" s="11"/>
      <c r="M222" s="11"/>
    </row>
    <row r="223" spans="12:13" ht="14.25" customHeight="1" x14ac:dyDescent="0.35">
      <c r="L223" s="11"/>
      <c r="M223" s="11"/>
    </row>
    <row r="224" spans="12:13" ht="14.25" customHeight="1" x14ac:dyDescent="0.35">
      <c r="L224" s="11"/>
      <c r="M224" s="11"/>
    </row>
    <row r="225" spans="12:13" ht="14.25" customHeight="1" x14ac:dyDescent="0.35">
      <c r="L225" s="11"/>
      <c r="M225" s="11"/>
    </row>
    <row r="226" spans="12:13" ht="14.25" customHeight="1" x14ac:dyDescent="0.35">
      <c r="L226" s="11"/>
      <c r="M226" s="11"/>
    </row>
    <row r="227" spans="12:13" ht="14.25" customHeight="1" x14ac:dyDescent="0.35">
      <c r="L227" s="11"/>
      <c r="M227" s="11"/>
    </row>
    <row r="228" spans="12:13" ht="14.25" customHeight="1" x14ac:dyDescent="0.35">
      <c r="L228" s="11"/>
      <c r="M228" s="11"/>
    </row>
    <row r="229" spans="12:13" ht="14.25" customHeight="1" x14ac:dyDescent="0.35">
      <c r="L229" s="11"/>
      <c r="M229" s="11"/>
    </row>
    <row r="230" spans="12:13" ht="14.25" customHeight="1" x14ac:dyDescent="0.35">
      <c r="L230" s="11"/>
      <c r="M230" s="11"/>
    </row>
    <row r="231" spans="12:13" ht="14.25" customHeight="1" x14ac:dyDescent="0.35">
      <c r="L231" s="11"/>
      <c r="M231" s="11"/>
    </row>
    <row r="232" spans="12:13" ht="14.25" customHeight="1" x14ac:dyDescent="0.35">
      <c r="L232" s="11"/>
      <c r="M232" s="11"/>
    </row>
    <row r="233" spans="12:13" ht="14.25" customHeight="1" x14ac:dyDescent="0.35">
      <c r="L233" s="11"/>
      <c r="M233" s="11"/>
    </row>
    <row r="234" spans="12:13" ht="14.25" customHeight="1" x14ac:dyDescent="0.35">
      <c r="L234" s="11"/>
      <c r="M234" s="11"/>
    </row>
    <row r="235" spans="12:13" ht="14.25" customHeight="1" x14ac:dyDescent="0.35">
      <c r="L235" s="11"/>
      <c r="M235" s="11"/>
    </row>
    <row r="236" spans="12:13" ht="14.25" customHeight="1" x14ac:dyDescent="0.35">
      <c r="L236" s="11"/>
      <c r="M236" s="11"/>
    </row>
    <row r="237" spans="12:13" ht="14.25" customHeight="1" x14ac:dyDescent="0.35">
      <c r="L237" s="11"/>
      <c r="M237" s="11"/>
    </row>
    <row r="238" spans="12:13" ht="14.25" customHeight="1" x14ac:dyDescent="0.35">
      <c r="L238" s="11"/>
      <c r="M238" s="11"/>
    </row>
    <row r="239" spans="12:13" ht="14.25" customHeight="1" x14ac:dyDescent="0.35">
      <c r="L239" s="11"/>
      <c r="M239" s="11"/>
    </row>
    <row r="240" spans="12:13" ht="14.25" customHeight="1" x14ac:dyDescent="0.35">
      <c r="L240" s="11"/>
      <c r="M240" s="11"/>
    </row>
    <row r="241" spans="12:13" ht="14.25" customHeight="1" x14ac:dyDescent="0.35">
      <c r="L241" s="11"/>
      <c r="M241" s="11"/>
    </row>
    <row r="242" spans="12:13" ht="14.25" customHeight="1" x14ac:dyDescent="0.35">
      <c r="L242" s="11"/>
      <c r="M242" s="11"/>
    </row>
    <row r="243" spans="12:13" ht="14.25" customHeight="1" x14ac:dyDescent="0.35">
      <c r="L243" s="11"/>
      <c r="M243" s="11"/>
    </row>
    <row r="244" spans="12:13" ht="14.25" customHeight="1" x14ac:dyDescent="0.35">
      <c r="L244" s="11"/>
      <c r="M244" s="11"/>
    </row>
    <row r="245" spans="12:13" ht="14.25" customHeight="1" x14ac:dyDescent="0.35">
      <c r="L245" s="11"/>
      <c r="M245" s="11"/>
    </row>
    <row r="246" spans="12:13" ht="14.25" customHeight="1" x14ac:dyDescent="0.35">
      <c r="L246" s="11"/>
      <c r="M246" s="11"/>
    </row>
    <row r="247" spans="12:13" ht="14.25" customHeight="1" x14ac:dyDescent="0.35">
      <c r="L247" s="11"/>
      <c r="M247" s="11"/>
    </row>
    <row r="248" spans="12:13" ht="14.25" customHeight="1" x14ac:dyDescent="0.35">
      <c r="L248" s="11"/>
      <c r="M248" s="11"/>
    </row>
    <row r="249" spans="12:13" ht="14.25" customHeight="1" x14ac:dyDescent="0.35">
      <c r="L249" s="11"/>
      <c r="M249" s="11"/>
    </row>
    <row r="250" spans="12:13" ht="14.25" customHeight="1" x14ac:dyDescent="0.35">
      <c r="L250" s="11"/>
      <c r="M250" s="11"/>
    </row>
    <row r="251" spans="12:13" ht="14.25" customHeight="1" x14ac:dyDescent="0.35">
      <c r="L251" s="11"/>
      <c r="M251" s="11"/>
    </row>
    <row r="252" spans="12:13" ht="14.25" customHeight="1" x14ac:dyDescent="0.35">
      <c r="L252" s="11"/>
      <c r="M252" s="11"/>
    </row>
    <row r="253" spans="12:13" ht="14.25" customHeight="1" x14ac:dyDescent="0.35">
      <c r="L253" s="11"/>
      <c r="M253" s="11"/>
    </row>
    <row r="254" spans="12:13" ht="14.25" customHeight="1" x14ac:dyDescent="0.35">
      <c r="L254" s="11"/>
      <c r="M254" s="11"/>
    </row>
    <row r="255" spans="12:13" ht="14.25" customHeight="1" x14ac:dyDescent="0.35">
      <c r="L255" s="11"/>
      <c r="M255" s="11"/>
    </row>
    <row r="256" spans="12:13" ht="14.25" customHeight="1" x14ac:dyDescent="0.35">
      <c r="L256" s="11"/>
      <c r="M256" s="11"/>
    </row>
    <row r="257" spans="12:13" ht="14.25" customHeight="1" x14ac:dyDescent="0.35">
      <c r="L257" s="11"/>
      <c r="M257" s="11"/>
    </row>
    <row r="258" spans="12:13" ht="14.25" customHeight="1" x14ac:dyDescent="0.35">
      <c r="L258" s="11"/>
      <c r="M258" s="11"/>
    </row>
    <row r="259" spans="12:13" ht="14.25" customHeight="1" x14ac:dyDescent="0.35">
      <c r="L259" s="11"/>
      <c r="M259" s="11"/>
    </row>
    <row r="260" spans="12:13" ht="14.25" customHeight="1" x14ac:dyDescent="0.35">
      <c r="L260" s="11"/>
      <c r="M260" s="11"/>
    </row>
    <row r="261" spans="12:13" ht="14.25" customHeight="1" x14ac:dyDescent="0.35">
      <c r="L261" s="11"/>
      <c r="M261" s="11"/>
    </row>
    <row r="262" spans="12:13" ht="14.25" customHeight="1" x14ac:dyDescent="0.35">
      <c r="L262" s="11"/>
      <c r="M262" s="11"/>
    </row>
    <row r="263" spans="12:13" ht="14.25" customHeight="1" x14ac:dyDescent="0.35">
      <c r="L263" s="11"/>
      <c r="M263" s="11"/>
    </row>
    <row r="264" spans="12:13" ht="14.25" customHeight="1" x14ac:dyDescent="0.35">
      <c r="L264" s="11"/>
      <c r="M264" s="11"/>
    </row>
    <row r="265" spans="12:13" ht="14.25" customHeight="1" x14ac:dyDescent="0.35">
      <c r="L265" s="11"/>
      <c r="M265" s="11"/>
    </row>
    <row r="266" spans="12:13" ht="14.25" customHeight="1" x14ac:dyDescent="0.35">
      <c r="L266" s="11"/>
      <c r="M266" s="11"/>
    </row>
    <row r="267" spans="12:13" ht="14.25" customHeight="1" x14ac:dyDescent="0.35">
      <c r="L267" s="11"/>
      <c r="M267" s="11"/>
    </row>
    <row r="268" spans="12:13" ht="14.25" customHeight="1" x14ac:dyDescent="0.35">
      <c r="L268" s="11"/>
      <c r="M268" s="11"/>
    </row>
    <row r="269" spans="12:13" ht="14.25" customHeight="1" x14ac:dyDescent="0.35">
      <c r="L269" s="11"/>
      <c r="M269" s="11"/>
    </row>
    <row r="270" spans="12:13" ht="14.25" customHeight="1" x14ac:dyDescent="0.35">
      <c r="L270" s="11"/>
      <c r="M270" s="11"/>
    </row>
    <row r="271" spans="12:13" ht="14.25" customHeight="1" x14ac:dyDescent="0.35">
      <c r="L271" s="11"/>
      <c r="M271" s="11"/>
    </row>
    <row r="272" spans="12:13" ht="14.25" customHeight="1" x14ac:dyDescent="0.35">
      <c r="L272" s="11"/>
      <c r="M272" s="11"/>
    </row>
    <row r="273" spans="12:13" ht="14.25" customHeight="1" x14ac:dyDescent="0.35">
      <c r="L273" s="11"/>
      <c r="M273" s="11"/>
    </row>
    <row r="274" spans="12:13" ht="14.25" customHeight="1" x14ac:dyDescent="0.35">
      <c r="L274" s="11"/>
      <c r="M274" s="11"/>
    </row>
    <row r="275" spans="12:13" ht="14.25" customHeight="1" x14ac:dyDescent="0.35">
      <c r="L275" s="11"/>
      <c r="M275" s="11"/>
    </row>
    <row r="276" spans="12:13" ht="14.25" customHeight="1" x14ac:dyDescent="0.35">
      <c r="L276" s="11"/>
      <c r="M276" s="11"/>
    </row>
    <row r="277" spans="12:13" ht="14.25" customHeight="1" x14ac:dyDescent="0.35">
      <c r="L277" s="11"/>
      <c r="M277" s="11"/>
    </row>
    <row r="278" spans="12:13" ht="14.25" customHeight="1" x14ac:dyDescent="0.35">
      <c r="L278" s="11"/>
      <c r="M278" s="11"/>
    </row>
    <row r="279" spans="12:13" ht="14.25" customHeight="1" x14ac:dyDescent="0.35">
      <c r="L279" s="11"/>
      <c r="M279" s="11"/>
    </row>
    <row r="280" spans="12:13" ht="14.25" customHeight="1" x14ac:dyDescent="0.35">
      <c r="L280" s="11"/>
      <c r="M280" s="11"/>
    </row>
    <row r="281" spans="12:13" ht="14.25" customHeight="1" x14ac:dyDescent="0.35">
      <c r="L281" s="11"/>
      <c r="M281" s="11"/>
    </row>
    <row r="282" spans="12:13" ht="14.25" customHeight="1" x14ac:dyDescent="0.35">
      <c r="L282" s="11"/>
      <c r="M282" s="11"/>
    </row>
    <row r="283" spans="12:13" ht="14.25" customHeight="1" x14ac:dyDescent="0.35">
      <c r="L283" s="11"/>
      <c r="M283" s="11"/>
    </row>
    <row r="284" spans="12:13" ht="14.25" customHeight="1" x14ac:dyDescent="0.35">
      <c r="L284" s="11"/>
      <c r="M284" s="11"/>
    </row>
    <row r="285" spans="12:13" ht="14.25" customHeight="1" x14ac:dyDescent="0.35">
      <c r="L285" s="11"/>
      <c r="M285" s="11"/>
    </row>
    <row r="286" spans="12:13" ht="14.25" customHeight="1" x14ac:dyDescent="0.35">
      <c r="L286" s="11"/>
      <c r="M286" s="11"/>
    </row>
    <row r="287" spans="12:13" ht="14.25" customHeight="1" x14ac:dyDescent="0.35">
      <c r="L287" s="11"/>
      <c r="M287" s="11"/>
    </row>
    <row r="288" spans="12:13" ht="14.25" customHeight="1" x14ac:dyDescent="0.35">
      <c r="L288" s="11"/>
      <c r="M288" s="11"/>
    </row>
    <row r="289" spans="12:13" ht="14.25" customHeight="1" x14ac:dyDescent="0.35">
      <c r="L289" s="11"/>
      <c r="M289" s="11"/>
    </row>
    <row r="290" spans="12:13" ht="14.25" customHeight="1" x14ac:dyDescent="0.35">
      <c r="L290" s="11"/>
      <c r="M290" s="11"/>
    </row>
    <row r="291" spans="12:13" ht="14.25" customHeight="1" x14ac:dyDescent="0.35">
      <c r="L291" s="11"/>
      <c r="M291" s="11"/>
    </row>
    <row r="292" spans="12:13" ht="14.25" customHeight="1" x14ac:dyDescent="0.35">
      <c r="L292" s="11"/>
      <c r="M292" s="11"/>
    </row>
    <row r="293" spans="12:13" ht="14.25" customHeight="1" x14ac:dyDescent="0.35">
      <c r="L293" s="11"/>
      <c r="M293" s="11"/>
    </row>
    <row r="294" spans="12:13" ht="14.25" customHeight="1" x14ac:dyDescent="0.35">
      <c r="L294" s="11"/>
      <c r="M294" s="11"/>
    </row>
    <row r="295" spans="12:13" ht="14.25" customHeight="1" x14ac:dyDescent="0.35">
      <c r="L295" s="11"/>
      <c r="M295" s="11"/>
    </row>
    <row r="296" spans="12:13" ht="14.25" customHeight="1" x14ac:dyDescent="0.35">
      <c r="L296" s="11"/>
      <c r="M296" s="11"/>
    </row>
    <row r="297" spans="12:13" ht="14.25" customHeight="1" x14ac:dyDescent="0.35">
      <c r="L297" s="11"/>
      <c r="M297" s="11"/>
    </row>
    <row r="298" spans="12:13" ht="14.25" customHeight="1" x14ac:dyDescent="0.35">
      <c r="L298" s="11"/>
      <c r="M298" s="11"/>
    </row>
    <row r="299" spans="12:13" ht="14.25" customHeight="1" x14ac:dyDescent="0.35">
      <c r="L299" s="11"/>
      <c r="M299" s="11"/>
    </row>
    <row r="300" spans="12:13" ht="14.25" customHeight="1" x14ac:dyDescent="0.35">
      <c r="L300" s="11"/>
      <c r="M300" s="11"/>
    </row>
    <row r="301" spans="12:13" ht="14.25" customHeight="1" x14ac:dyDescent="0.35">
      <c r="L301" s="11"/>
      <c r="M301" s="11"/>
    </row>
    <row r="302" spans="12:13" ht="14.25" customHeight="1" x14ac:dyDescent="0.35">
      <c r="L302" s="11"/>
      <c r="M302" s="11"/>
    </row>
    <row r="303" spans="12:13" ht="14.25" customHeight="1" x14ac:dyDescent="0.35">
      <c r="L303" s="11"/>
      <c r="M303" s="11"/>
    </row>
    <row r="304" spans="12:13" ht="14.25" customHeight="1" x14ac:dyDescent="0.35">
      <c r="L304" s="11"/>
      <c r="M304" s="11"/>
    </row>
    <row r="305" spans="12:13" ht="14.25" customHeight="1" x14ac:dyDescent="0.35">
      <c r="L305" s="11"/>
      <c r="M305" s="11"/>
    </row>
    <row r="306" spans="12:13" ht="14.25" customHeight="1" x14ac:dyDescent="0.35">
      <c r="L306" s="11"/>
      <c r="M306" s="11"/>
    </row>
    <row r="307" spans="12:13" ht="14.25" customHeight="1" x14ac:dyDescent="0.35">
      <c r="L307" s="11"/>
      <c r="M307" s="11"/>
    </row>
    <row r="308" spans="12:13" ht="14.25" customHeight="1" x14ac:dyDescent="0.35">
      <c r="L308" s="11"/>
      <c r="M308" s="11"/>
    </row>
    <row r="309" spans="12:13" ht="14.25" customHeight="1" x14ac:dyDescent="0.35">
      <c r="L309" s="11"/>
      <c r="M309" s="11"/>
    </row>
    <row r="310" spans="12:13" ht="14.25" customHeight="1" x14ac:dyDescent="0.35">
      <c r="L310" s="11"/>
      <c r="M310" s="11"/>
    </row>
    <row r="311" spans="12:13" ht="14.25" customHeight="1" x14ac:dyDescent="0.35">
      <c r="L311" s="11"/>
      <c r="M311" s="11"/>
    </row>
    <row r="312" spans="12:13" ht="14.25" customHeight="1" x14ac:dyDescent="0.35">
      <c r="L312" s="11"/>
      <c r="M312" s="11"/>
    </row>
    <row r="313" spans="12:13" ht="14.25" customHeight="1" x14ac:dyDescent="0.35">
      <c r="L313" s="11"/>
      <c r="M313" s="11"/>
    </row>
    <row r="314" spans="12:13" ht="14.25" customHeight="1" x14ac:dyDescent="0.35">
      <c r="L314" s="11"/>
      <c r="M314" s="11"/>
    </row>
    <row r="315" spans="12:13" ht="14.25" customHeight="1" x14ac:dyDescent="0.35">
      <c r="L315" s="11"/>
      <c r="M315" s="11"/>
    </row>
    <row r="316" spans="12:13" ht="14.25" customHeight="1" x14ac:dyDescent="0.35">
      <c r="L316" s="11"/>
      <c r="M316" s="11"/>
    </row>
    <row r="317" spans="12:13" ht="14.25" customHeight="1" x14ac:dyDescent="0.35">
      <c r="L317" s="11"/>
      <c r="M317" s="11"/>
    </row>
    <row r="318" spans="12:13" ht="14.25" customHeight="1" x14ac:dyDescent="0.35">
      <c r="L318" s="11"/>
      <c r="M318" s="11"/>
    </row>
    <row r="319" spans="12:13" ht="14.25" customHeight="1" x14ac:dyDescent="0.35">
      <c r="L319" s="11"/>
      <c r="M319" s="11"/>
    </row>
    <row r="320" spans="12:13" ht="14.25" customHeight="1" x14ac:dyDescent="0.35">
      <c r="L320" s="11"/>
      <c r="M320" s="11"/>
    </row>
    <row r="321" spans="12:13" ht="14.25" customHeight="1" x14ac:dyDescent="0.35">
      <c r="L321" s="11"/>
      <c r="M321" s="11"/>
    </row>
    <row r="322" spans="12:13" ht="14.25" customHeight="1" x14ac:dyDescent="0.35">
      <c r="L322" s="11"/>
      <c r="M322" s="11"/>
    </row>
    <row r="323" spans="12:13" ht="14.25" customHeight="1" x14ac:dyDescent="0.35">
      <c r="L323" s="11"/>
      <c r="M323" s="11"/>
    </row>
    <row r="324" spans="12:13" ht="14.25" customHeight="1" x14ac:dyDescent="0.35">
      <c r="L324" s="11"/>
      <c r="M324" s="11"/>
    </row>
    <row r="325" spans="12:13" ht="14.25" customHeight="1" x14ac:dyDescent="0.35">
      <c r="L325" s="11"/>
      <c r="M325" s="11"/>
    </row>
    <row r="326" spans="12:13" ht="14.25" customHeight="1" x14ac:dyDescent="0.35">
      <c r="L326" s="11"/>
      <c r="M326" s="11"/>
    </row>
    <row r="327" spans="12:13" ht="14.25" customHeight="1" x14ac:dyDescent="0.35">
      <c r="L327" s="11"/>
      <c r="M327" s="11"/>
    </row>
    <row r="328" spans="12:13" ht="14.25" customHeight="1" x14ac:dyDescent="0.35">
      <c r="L328" s="11"/>
      <c r="M328" s="11"/>
    </row>
    <row r="329" spans="12:13" ht="14.25" customHeight="1" x14ac:dyDescent="0.35">
      <c r="L329" s="11"/>
      <c r="M329" s="11"/>
    </row>
    <row r="330" spans="12:13" ht="14.25" customHeight="1" x14ac:dyDescent="0.35">
      <c r="L330" s="11"/>
      <c r="M330" s="11"/>
    </row>
    <row r="331" spans="12:13" ht="14.25" customHeight="1" x14ac:dyDescent="0.35">
      <c r="L331" s="11"/>
      <c r="M331" s="11"/>
    </row>
    <row r="332" spans="12:13" ht="14.25" customHeight="1" x14ac:dyDescent="0.35">
      <c r="L332" s="11"/>
      <c r="M332" s="11"/>
    </row>
    <row r="333" spans="12:13" ht="14.25" customHeight="1" x14ac:dyDescent="0.35">
      <c r="L333" s="11"/>
      <c r="M333" s="11"/>
    </row>
    <row r="334" spans="12:13" ht="14.25" customHeight="1" x14ac:dyDescent="0.35">
      <c r="L334" s="11"/>
      <c r="M334" s="11"/>
    </row>
    <row r="335" spans="12:13" ht="14.25" customHeight="1" x14ac:dyDescent="0.35">
      <c r="L335" s="11"/>
      <c r="M335" s="11"/>
    </row>
    <row r="336" spans="12:13" ht="14.25" customHeight="1" x14ac:dyDescent="0.35">
      <c r="L336" s="11"/>
      <c r="M336" s="11"/>
    </row>
    <row r="337" spans="12:13" ht="14.25" customHeight="1" x14ac:dyDescent="0.35">
      <c r="L337" s="11"/>
      <c r="M337" s="11"/>
    </row>
    <row r="338" spans="12:13" ht="14.25" customHeight="1" x14ac:dyDescent="0.35">
      <c r="L338" s="11"/>
      <c r="M338" s="11"/>
    </row>
    <row r="339" spans="12:13" ht="14.25" customHeight="1" x14ac:dyDescent="0.35">
      <c r="L339" s="11"/>
      <c r="M339" s="11"/>
    </row>
    <row r="340" spans="12:13" ht="14.25" customHeight="1" x14ac:dyDescent="0.35">
      <c r="L340" s="11"/>
      <c r="M340" s="11"/>
    </row>
    <row r="341" spans="12:13" ht="14.25" customHeight="1" x14ac:dyDescent="0.35">
      <c r="L341" s="11"/>
      <c r="M341" s="11"/>
    </row>
    <row r="342" spans="12:13" ht="14.25" customHeight="1" x14ac:dyDescent="0.35">
      <c r="L342" s="11"/>
      <c r="M342" s="11"/>
    </row>
    <row r="343" spans="12:13" ht="14.25" customHeight="1" x14ac:dyDescent="0.35">
      <c r="L343" s="11"/>
      <c r="M343" s="11"/>
    </row>
    <row r="344" spans="12:13" ht="14.25" customHeight="1" x14ac:dyDescent="0.35">
      <c r="L344" s="11"/>
      <c r="M344" s="11"/>
    </row>
    <row r="345" spans="12:13" ht="14.25" customHeight="1" x14ac:dyDescent="0.35">
      <c r="L345" s="11"/>
      <c r="M345" s="11"/>
    </row>
    <row r="346" spans="12:13" ht="14.25" customHeight="1" x14ac:dyDescent="0.35">
      <c r="L346" s="11"/>
      <c r="M346" s="11"/>
    </row>
    <row r="347" spans="12:13" ht="14.25" customHeight="1" x14ac:dyDescent="0.35">
      <c r="L347" s="11"/>
      <c r="M347" s="11"/>
    </row>
    <row r="348" spans="12:13" ht="14.25" customHeight="1" x14ac:dyDescent="0.35">
      <c r="L348" s="11"/>
      <c r="M348" s="11"/>
    </row>
    <row r="349" spans="12:13" ht="14.25" customHeight="1" x14ac:dyDescent="0.35">
      <c r="L349" s="11"/>
      <c r="M349" s="11"/>
    </row>
    <row r="350" spans="12:13" ht="14.25" customHeight="1" x14ac:dyDescent="0.35">
      <c r="L350" s="11"/>
      <c r="M350" s="11"/>
    </row>
    <row r="351" spans="12:13" ht="14.25" customHeight="1" x14ac:dyDescent="0.35">
      <c r="L351" s="11"/>
      <c r="M351" s="11"/>
    </row>
    <row r="352" spans="12:13" ht="14.25" customHeight="1" x14ac:dyDescent="0.35">
      <c r="L352" s="11"/>
      <c r="M352" s="11"/>
    </row>
    <row r="353" spans="12:13" ht="14.25" customHeight="1" x14ac:dyDescent="0.35">
      <c r="L353" s="11"/>
      <c r="M353" s="11"/>
    </row>
    <row r="354" spans="12:13" ht="14.25" customHeight="1" x14ac:dyDescent="0.35">
      <c r="L354" s="11"/>
      <c r="M354" s="11"/>
    </row>
    <row r="355" spans="12:13" ht="14.25" customHeight="1" x14ac:dyDescent="0.35">
      <c r="L355" s="11"/>
      <c r="M355" s="11"/>
    </row>
    <row r="356" spans="12:13" ht="14.25" customHeight="1" x14ac:dyDescent="0.35">
      <c r="L356" s="11"/>
      <c r="M356" s="11"/>
    </row>
    <row r="357" spans="12:13" ht="14.25" customHeight="1" x14ac:dyDescent="0.35">
      <c r="L357" s="11"/>
      <c r="M357" s="11"/>
    </row>
    <row r="358" spans="12:13" ht="14.25" customHeight="1" x14ac:dyDescent="0.35">
      <c r="L358" s="11"/>
      <c r="M358" s="11"/>
    </row>
    <row r="359" spans="12:13" ht="14.25" customHeight="1" x14ac:dyDescent="0.35">
      <c r="L359" s="11"/>
      <c r="M359" s="11"/>
    </row>
    <row r="360" spans="12:13" ht="14.25" customHeight="1" x14ac:dyDescent="0.35">
      <c r="L360" s="11"/>
      <c r="M360" s="11"/>
    </row>
    <row r="361" spans="12:13" ht="14.25" customHeight="1" x14ac:dyDescent="0.35">
      <c r="L361" s="11"/>
      <c r="M361" s="11"/>
    </row>
    <row r="362" spans="12:13" ht="14.25" customHeight="1" x14ac:dyDescent="0.35">
      <c r="L362" s="11"/>
      <c r="M362" s="11"/>
    </row>
    <row r="363" spans="12:13" ht="14.25" customHeight="1" x14ac:dyDescent="0.35">
      <c r="L363" s="11"/>
      <c r="M363" s="11"/>
    </row>
    <row r="364" spans="12:13" ht="14.25" customHeight="1" x14ac:dyDescent="0.35">
      <c r="L364" s="11"/>
      <c r="M364" s="11"/>
    </row>
    <row r="365" spans="12:13" ht="14.25" customHeight="1" x14ac:dyDescent="0.35">
      <c r="L365" s="11"/>
      <c r="M365" s="11"/>
    </row>
    <row r="366" spans="12:13" ht="14.25" customHeight="1" x14ac:dyDescent="0.35">
      <c r="L366" s="11"/>
      <c r="M366" s="11"/>
    </row>
    <row r="367" spans="12:13" ht="14.25" customHeight="1" x14ac:dyDescent="0.35">
      <c r="L367" s="11"/>
      <c r="M367" s="11"/>
    </row>
    <row r="368" spans="12:13" ht="14.25" customHeight="1" x14ac:dyDescent="0.35">
      <c r="L368" s="11"/>
      <c r="M368" s="11"/>
    </row>
    <row r="369" spans="12:13" ht="14.25" customHeight="1" x14ac:dyDescent="0.35">
      <c r="L369" s="11"/>
      <c r="M369" s="11"/>
    </row>
    <row r="370" spans="12:13" ht="14.25" customHeight="1" x14ac:dyDescent="0.35">
      <c r="L370" s="11"/>
      <c r="M370" s="11"/>
    </row>
    <row r="371" spans="12:13" ht="14.25" customHeight="1" x14ac:dyDescent="0.35">
      <c r="L371" s="11"/>
      <c r="M371" s="11"/>
    </row>
    <row r="372" spans="12:13" ht="14.25" customHeight="1" x14ac:dyDescent="0.35">
      <c r="L372" s="11"/>
      <c r="M372" s="11"/>
    </row>
    <row r="373" spans="12:13" ht="14.25" customHeight="1" x14ac:dyDescent="0.35">
      <c r="L373" s="11"/>
      <c r="M373" s="11"/>
    </row>
    <row r="374" spans="12:13" ht="14.25" customHeight="1" x14ac:dyDescent="0.35">
      <c r="L374" s="11"/>
      <c r="M374" s="11"/>
    </row>
    <row r="375" spans="12:13" ht="14.25" customHeight="1" x14ac:dyDescent="0.35">
      <c r="L375" s="11"/>
      <c r="M375" s="11"/>
    </row>
    <row r="376" spans="12:13" ht="14.25" customHeight="1" x14ac:dyDescent="0.35">
      <c r="L376" s="11"/>
      <c r="M376" s="11"/>
    </row>
    <row r="377" spans="12:13" ht="14.25" customHeight="1" x14ac:dyDescent="0.35">
      <c r="L377" s="11"/>
      <c r="M377" s="11"/>
    </row>
    <row r="378" spans="12:13" ht="14.25" customHeight="1" x14ac:dyDescent="0.35">
      <c r="L378" s="11"/>
      <c r="M378" s="11"/>
    </row>
    <row r="379" spans="12:13" ht="14.25" customHeight="1" x14ac:dyDescent="0.35">
      <c r="L379" s="11"/>
      <c r="M379" s="11"/>
    </row>
    <row r="380" spans="12:13" ht="14.25" customHeight="1" x14ac:dyDescent="0.35">
      <c r="L380" s="11"/>
      <c r="M380" s="11"/>
    </row>
    <row r="381" spans="12:13" ht="14.25" customHeight="1" x14ac:dyDescent="0.35">
      <c r="L381" s="11"/>
      <c r="M381" s="11"/>
    </row>
    <row r="382" spans="12:13" ht="14.25" customHeight="1" x14ac:dyDescent="0.35">
      <c r="L382" s="11"/>
      <c r="M382" s="11"/>
    </row>
    <row r="383" spans="12:13" ht="14.25" customHeight="1" x14ac:dyDescent="0.35">
      <c r="L383" s="11"/>
      <c r="M383" s="11"/>
    </row>
    <row r="384" spans="12:13" ht="14.25" customHeight="1" x14ac:dyDescent="0.35">
      <c r="L384" s="11"/>
      <c r="M384" s="11"/>
    </row>
    <row r="385" spans="12:13" ht="14.25" customHeight="1" x14ac:dyDescent="0.35">
      <c r="L385" s="11"/>
      <c r="M385" s="11"/>
    </row>
    <row r="386" spans="12:13" ht="14.25" customHeight="1" x14ac:dyDescent="0.35">
      <c r="L386" s="11"/>
      <c r="M386" s="11"/>
    </row>
    <row r="387" spans="12:13" ht="14.25" customHeight="1" x14ac:dyDescent="0.35">
      <c r="L387" s="11"/>
      <c r="M387" s="11"/>
    </row>
    <row r="388" spans="12:13" ht="14.25" customHeight="1" x14ac:dyDescent="0.35">
      <c r="L388" s="11"/>
      <c r="M388" s="11"/>
    </row>
    <row r="389" spans="12:13" ht="14.25" customHeight="1" x14ac:dyDescent="0.35">
      <c r="L389" s="11"/>
      <c r="M389" s="11"/>
    </row>
    <row r="390" spans="12:13" ht="14.25" customHeight="1" x14ac:dyDescent="0.35">
      <c r="L390" s="11"/>
      <c r="M390" s="11"/>
    </row>
    <row r="391" spans="12:13" ht="14.25" customHeight="1" x14ac:dyDescent="0.35">
      <c r="L391" s="11"/>
      <c r="M391" s="11"/>
    </row>
    <row r="392" spans="12:13" ht="14.25" customHeight="1" x14ac:dyDescent="0.35">
      <c r="L392" s="11"/>
      <c r="M392" s="11"/>
    </row>
    <row r="393" spans="12:13" ht="14.25" customHeight="1" x14ac:dyDescent="0.35">
      <c r="L393" s="11"/>
      <c r="M393" s="11"/>
    </row>
    <row r="394" spans="12:13" ht="14.25" customHeight="1" x14ac:dyDescent="0.35">
      <c r="L394" s="11"/>
      <c r="M394" s="11"/>
    </row>
    <row r="395" spans="12:13" ht="14.25" customHeight="1" x14ac:dyDescent="0.35">
      <c r="L395" s="11"/>
      <c r="M395" s="11"/>
    </row>
    <row r="396" spans="12:13" ht="14.25" customHeight="1" x14ac:dyDescent="0.35">
      <c r="L396" s="11"/>
      <c r="M396" s="11"/>
    </row>
    <row r="397" spans="12:13" ht="14.25" customHeight="1" x14ac:dyDescent="0.35">
      <c r="L397" s="11"/>
      <c r="M397" s="11"/>
    </row>
    <row r="398" spans="12:13" ht="14.25" customHeight="1" x14ac:dyDescent="0.35">
      <c r="L398" s="11"/>
      <c r="M398" s="11"/>
    </row>
    <row r="399" spans="12:13" ht="14.25" customHeight="1" x14ac:dyDescent="0.35">
      <c r="L399" s="11"/>
      <c r="M399" s="11"/>
    </row>
    <row r="400" spans="12:13" ht="14.25" customHeight="1" x14ac:dyDescent="0.35">
      <c r="L400" s="11"/>
      <c r="M400" s="11"/>
    </row>
    <row r="401" spans="12:13" ht="14.25" customHeight="1" x14ac:dyDescent="0.35">
      <c r="L401" s="11"/>
      <c r="M401" s="11"/>
    </row>
    <row r="402" spans="12:13" ht="14.25" customHeight="1" x14ac:dyDescent="0.35">
      <c r="L402" s="11"/>
      <c r="M402" s="11"/>
    </row>
    <row r="403" spans="12:13" ht="14.25" customHeight="1" x14ac:dyDescent="0.35">
      <c r="L403" s="11"/>
      <c r="M403" s="11"/>
    </row>
    <row r="404" spans="12:13" ht="14.25" customHeight="1" x14ac:dyDescent="0.35">
      <c r="L404" s="11"/>
      <c r="M404" s="11"/>
    </row>
    <row r="405" spans="12:13" ht="14.25" customHeight="1" x14ac:dyDescent="0.35">
      <c r="L405" s="11"/>
      <c r="M405" s="11"/>
    </row>
    <row r="406" spans="12:13" ht="14.25" customHeight="1" x14ac:dyDescent="0.35">
      <c r="L406" s="11"/>
      <c r="M406" s="11"/>
    </row>
    <row r="407" spans="12:13" ht="14.25" customHeight="1" x14ac:dyDescent="0.35">
      <c r="L407" s="11"/>
      <c r="M407" s="11"/>
    </row>
    <row r="408" spans="12:13" ht="14.25" customHeight="1" x14ac:dyDescent="0.35">
      <c r="L408" s="11"/>
      <c r="M408" s="11"/>
    </row>
    <row r="409" spans="12:13" ht="14.25" customHeight="1" x14ac:dyDescent="0.35">
      <c r="L409" s="11"/>
      <c r="M409" s="11"/>
    </row>
    <row r="410" spans="12:13" ht="14.25" customHeight="1" x14ac:dyDescent="0.35">
      <c r="L410" s="11"/>
      <c r="M410" s="11"/>
    </row>
    <row r="411" spans="12:13" ht="14.25" customHeight="1" x14ac:dyDescent="0.35">
      <c r="L411" s="11"/>
      <c r="M411" s="11"/>
    </row>
    <row r="412" spans="12:13" ht="14.25" customHeight="1" x14ac:dyDescent="0.35">
      <c r="L412" s="11"/>
      <c r="M412" s="11"/>
    </row>
    <row r="413" spans="12:13" ht="14.25" customHeight="1" x14ac:dyDescent="0.35">
      <c r="L413" s="11"/>
      <c r="M413" s="11"/>
    </row>
    <row r="414" spans="12:13" ht="14.25" customHeight="1" x14ac:dyDescent="0.35">
      <c r="L414" s="11"/>
      <c r="M414" s="11"/>
    </row>
    <row r="415" spans="12:13" ht="14.25" customHeight="1" x14ac:dyDescent="0.35">
      <c r="L415" s="11"/>
      <c r="M415" s="11"/>
    </row>
    <row r="416" spans="12:13" ht="14.25" customHeight="1" x14ac:dyDescent="0.35">
      <c r="L416" s="11"/>
      <c r="M416" s="11"/>
    </row>
    <row r="417" spans="12:13" ht="14.25" customHeight="1" x14ac:dyDescent="0.35">
      <c r="L417" s="11"/>
      <c r="M417" s="11"/>
    </row>
    <row r="418" spans="12:13" ht="14.25" customHeight="1" x14ac:dyDescent="0.35">
      <c r="L418" s="11"/>
      <c r="M418" s="11"/>
    </row>
    <row r="419" spans="12:13" ht="14.25" customHeight="1" x14ac:dyDescent="0.35">
      <c r="L419" s="11"/>
      <c r="M419" s="11"/>
    </row>
    <row r="420" spans="12:13" ht="14.25" customHeight="1" x14ac:dyDescent="0.35">
      <c r="L420" s="11"/>
      <c r="M420" s="11"/>
    </row>
    <row r="421" spans="12:13" ht="14.25" customHeight="1" x14ac:dyDescent="0.35">
      <c r="L421" s="11"/>
      <c r="M421" s="11"/>
    </row>
    <row r="422" spans="12:13" ht="14.25" customHeight="1" x14ac:dyDescent="0.35">
      <c r="L422" s="11"/>
      <c r="M422" s="11"/>
    </row>
    <row r="423" spans="12:13" ht="14.25" customHeight="1" x14ac:dyDescent="0.35">
      <c r="L423" s="11"/>
      <c r="M423" s="11"/>
    </row>
    <row r="424" spans="12:13" ht="14.25" customHeight="1" x14ac:dyDescent="0.35">
      <c r="L424" s="11"/>
      <c r="M424" s="11"/>
    </row>
    <row r="425" spans="12:13" ht="14.25" customHeight="1" x14ac:dyDescent="0.35">
      <c r="L425" s="11"/>
      <c r="M425" s="11"/>
    </row>
    <row r="426" spans="12:13" ht="14.25" customHeight="1" x14ac:dyDescent="0.35">
      <c r="L426" s="11"/>
      <c r="M426" s="11"/>
    </row>
    <row r="427" spans="12:13" ht="14.25" customHeight="1" x14ac:dyDescent="0.35">
      <c r="L427" s="11"/>
      <c r="M427" s="11"/>
    </row>
    <row r="428" spans="12:13" ht="14.25" customHeight="1" x14ac:dyDescent="0.35">
      <c r="L428" s="11"/>
      <c r="M428" s="11"/>
    </row>
    <row r="429" spans="12:13" ht="14.25" customHeight="1" x14ac:dyDescent="0.35">
      <c r="L429" s="11"/>
      <c r="M429" s="11"/>
    </row>
    <row r="430" spans="12:13" ht="14.25" customHeight="1" x14ac:dyDescent="0.35">
      <c r="L430" s="11"/>
      <c r="M430" s="11"/>
    </row>
    <row r="431" spans="12:13" ht="14.25" customHeight="1" x14ac:dyDescent="0.35">
      <c r="L431" s="11"/>
      <c r="M431" s="11"/>
    </row>
    <row r="432" spans="12:13" ht="14.25" customHeight="1" x14ac:dyDescent="0.35">
      <c r="L432" s="11"/>
      <c r="M432" s="11"/>
    </row>
    <row r="433" spans="12:13" ht="14.25" customHeight="1" x14ac:dyDescent="0.35">
      <c r="L433" s="11"/>
      <c r="M433" s="11"/>
    </row>
    <row r="434" spans="12:13" ht="14.25" customHeight="1" x14ac:dyDescent="0.35">
      <c r="L434" s="11"/>
      <c r="M434" s="11"/>
    </row>
    <row r="435" spans="12:13" ht="14.25" customHeight="1" x14ac:dyDescent="0.35">
      <c r="L435" s="11"/>
      <c r="M435" s="11"/>
    </row>
    <row r="436" spans="12:13" ht="14.25" customHeight="1" x14ac:dyDescent="0.35">
      <c r="L436" s="11"/>
      <c r="M436" s="11"/>
    </row>
    <row r="437" spans="12:13" ht="14.25" customHeight="1" x14ac:dyDescent="0.35">
      <c r="L437" s="11"/>
      <c r="M437" s="11"/>
    </row>
    <row r="438" spans="12:13" ht="14.25" customHeight="1" x14ac:dyDescent="0.35">
      <c r="L438" s="11"/>
      <c r="M438" s="11"/>
    </row>
    <row r="439" spans="12:13" ht="14.25" customHeight="1" x14ac:dyDescent="0.35">
      <c r="L439" s="11"/>
      <c r="M439" s="11"/>
    </row>
    <row r="440" spans="12:13" ht="14.25" customHeight="1" x14ac:dyDescent="0.35">
      <c r="L440" s="11"/>
      <c r="M440" s="11"/>
    </row>
    <row r="441" spans="12:13" ht="14.25" customHeight="1" x14ac:dyDescent="0.35">
      <c r="L441" s="11"/>
      <c r="M441" s="11"/>
    </row>
    <row r="442" spans="12:13" ht="14.25" customHeight="1" x14ac:dyDescent="0.35">
      <c r="L442" s="11"/>
      <c r="M442" s="11"/>
    </row>
    <row r="443" spans="12:13" ht="14.25" customHeight="1" x14ac:dyDescent="0.35">
      <c r="L443" s="11"/>
      <c r="M443" s="11"/>
    </row>
    <row r="444" spans="12:13" ht="14.25" customHeight="1" x14ac:dyDescent="0.35">
      <c r="L444" s="11"/>
      <c r="M444" s="11"/>
    </row>
    <row r="445" spans="12:13" ht="14.25" customHeight="1" x14ac:dyDescent="0.35">
      <c r="L445" s="11"/>
      <c r="M445" s="11"/>
    </row>
    <row r="446" spans="12:13" ht="14.25" customHeight="1" x14ac:dyDescent="0.35">
      <c r="L446" s="11"/>
      <c r="M446" s="11"/>
    </row>
    <row r="447" spans="12:13" ht="14.25" customHeight="1" x14ac:dyDescent="0.35">
      <c r="L447" s="11"/>
      <c r="M447" s="11"/>
    </row>
    <row r="448" spans="12:13" ht="14.25" customHeight="1" x14ac:dyDescent="0.35">
      <c r="L448" s="11"/>
      <c r="M448" s="11"/>
    </row>
    <row r="449" spans="12:13" ht="14.25" customHeight="1" x14ac:dyDescent="0.35">
      <c r="L449" s="11"/>
      <c r="M449" s="11"/>
    </row>
    <row r="450" spans="12:13" ht="14.25" customHeight="1" x14ac:dyDescent="0.35">
      <c r="L450" s="11"/>
      <c r="M450" s="11"/>
    </row>
    <row r="451" spans="12:13" ht="14.25" customHeight="1" x14ac:dyDescent="0.35">
      <c r="L451" s="11"/>
      <c r="M451" s="11"/>
    </row>
    <row r="452" spans="12:13" ht="14.25" customHeight="1" x14ac:dyDescent="0.35">
      <c r="L452" s="11"/>
      <c r="M452" s="11"/>
    </row>
    <row r="453" spans="12:13" ht="14.25" customHeight="1" x14ac:dyDescent="0.35">
      <c r="L453" s="11"/>
      <c r="M453" s="11"/>
    </row>
    <row r="454" spans="12:13" ht="14.25" customHeight="1" x14ac:dyDescent="0.35">
      <c r="L454" s="11"/>
      <c r="M454" s="11"/>
    </row>
    <row r="455" spans="12:13" ht="14.25" customHeight="1" x14ac:dyDescent="0.35">
      <c r="L455" s="11"/>
      <c r="M455" s="11"/>
    </row>
    <row r="456" spans="12:13" ht="14.25" customHeight="1" x14ac:dyDescent="0.35">
      <c r="L456" s="11"/>
      <c r="M456" s="11"/>
    </row>
    <row r="457" spans="12:13" ht="14.25" customHeight="1" x14ac:dyDescent="0.35">
      <c r="L457" s="11"/>
      <c r="M457" s="11"/>
    </row>
    <row r="458" spans="12:13" ht="14.25" customHeight="1" x14ac:dyDescent="0.35">
      <c r="L458" s="11"/>
      <c r="M458" s="11"/>
    </row>
    <row r="459" spans="12:13" ht="14.25" customHeight="1" x14ac:dyDescent="0.35">
      <c r="L459" s="11"/>
      <c r="M459" s="11"/>
    </row>
    <row r="460" spans="12:13" ht="14.25" customHeight="1" x14ac:dyDescent="0.35">
      <c r="L460" s="11"/>
      <c r="M460" s="11"/>
    </row>
    <row r="461" spans="12:13" ht="14.25" customHeight="1" x14ac:dyDescent="0.35">
      <c r="L461" s="11"/>
      <c r="M461" s="11"/>
    </row>
    <row r="462" spans="12:13" ht="14.25" customHeight="1" x14ac:dyDescent="0.35">
      <c r="L462" s="11"/>
      <c r="M462" s="11"/>
    </row>
    <row r="463" spans="12:13" ht="14.25" customHeight="1" x14ac:dyDescent="0.35">
      <c r="L463" s="11"/>
      <c r="M463" s="11"/>
    </row>
    <row r="464" spans="12:13" ht="14.25" customHeight="1" x14ac:dyDescent="0.35">
      <c r="L464" s="11"/>
      <c r="M464" s="11"/>
    </row>
    <row r="465" spans="12:13" ht="14.25" customHeight="1" x14ac:dyDescent="0.35">
      <c r="L465" s="11"/>
      <c r="M465" s="11"/>
    </row>
    <row r="466" spans="12:13" ht="14.25" customHeight="1" x14ac:dyDescent="0.35">
      <c r="L466" s="11"/>
      <c r="M466" s="11"/>
    </row>
    <row r="467" spans="12:13" ht="14.25" customHeight="1" x14ac:dyDescent="0.35">
      <c r="L467" s="11"/>
      <c r="M467" s="11"/>
    </row>
    <row r="468" spans="12:13" ht="14.25" customHeight="1" x14ac:dyDescent="0.35">
      <c r="L468" s="11"/>
      <c r="M468" s="11"/>
    </row>
    <row r="469" spans="12:13" ht="14.25" customHeight="1" x14ac:dyDescent="0.35">
      <c r="L469" s="11"/>
      <c r="M469" s="11"/>
    </row>
    <row r="470" spans="12:13" ht="14.25" customHeight="1" x14ac:dyDescent="0.35">
      <c r="L470" s="11"/>
      <c r="M470" s="11"/>
    </row>
    <row r="471" spans="12:13" ht="14.25" customHeight="1" x14ac:dyDescent="0.35">
      <c r="L471" s="11"/>
      <c r="M471" s="11"/>
    </row>
    <row r="472" spans="12:13" ht="14.25" customHeight="1" x14ac:dyDescent="0.35">
      <c r="L472" s="11"/>
      <c r="M472" s="11"/>
    </row>
    <row r="473" spans="12:13" ht="14.25" customHeight="1" x14ac:dyDescent="0.35">
      <c r="L473" s="11"/>
      <c r="M473" s="11"/>
    </row>
    <row r="474" spans="12:13" ht="14.25" customHeight="1" x14ac:dyDescent="0.35">
      <c r="L474" s="11"/>
      <c r="M474" s="11"/>
    </row>
    <row r="475" spans="12:13" ht="14.25" customHeight="1" x14ac:dyDescent="0.35">
      <c r="L475" s="11"/>
      <c r="M475" s="11"/>
    </row>
    <row r="476" spans="12:13" ht="14.25" customHeight="1" x14ac:dyDescent="0.35">
      <c r="L476" s="11"/>
      <c r="M476" s="11"/>
    </row>
    <row r="477" spans="12:13" ht="14.25" customHeight="1" x14ac:dyDescent="0.35">
      <c r="L477" s="11"/>
      <c r="M477" s="11"/>
    </row>
    <row r="478" spans="12:13" ht="14.25" customHeight="1" x14ac:dyDescent="0.35">
      <c r="L478" s="11"/>
      <c r="M478" s="11"/>
    </row>
    <row r="479" spans="12:13" ht="14.25" customHeight="1" x14ac:dyDescent="0.35">
      <c r="L479" s="11"/>
      <c r="M479" s="11"/>
    </row>
    <row r="480" spans="12:13" ht="14.25" customHeight="1" x14ac:dyDescent="0.35">
      <c r="L480" s="11"/>
      <c r="M480" s="11"/>
    </row>
    <row r="481" spans="12:13" ht="14.25" customHeight="1" x14ac:dyDescent="0.35">
      <c r="L481" s="11"/>
      <c r="M481" s="11"/>
    </row>
    <row r="482" spans="12:13" ht="14.25" customHeight="1" x14ac:dyDescent="0.35">
      <c r="L482" s="11"/>
      <c r="M482" s="11"/>
    </row>
    <row r="483" spans="12:13" ht="14.25" customHeight="1" x14ac:dyDescent="0.35">
      <c r="L483" s="11"/>
      <c r="M483" s="11"/>
    </row>
    <row r="484" spans="12:13" ht="14.25" customHeight="1" x14ac:dyDescent="0.35">
      <c r="L484" s="11"/>
      <c r="M484" s="11"/>
    </row>
    <row r="485" spans="12:13" ht="14.25" customHeight="1" x14ac:dyDescent="0.35">
      <c r="L485" s="11"/>
      <c r="M485" s="11"/>
    </row>
    <row r="486" spans="12:13" ht="14.25" customHeight="1" x14ac:dyDescent="0.35">
      <c r="L486" s="11"/>
      <c r="M486" s="11"/>
    </row>
    <row r="487" spans="12:13" ht="14.25" customHeight="1" x14ac:dyDescent="0.35">
      <c r="L487" s="11"/>
      <c r="M487" s="11"/>
    </row>
    <row r="488" spans="12:13" ht="14.25" customHeight="1" x14ac:dyDescent="0.35">
      <c r="L488" s="11"/>
      <c r="M488" s="11"/>
    </row>
    <row r="489" spans="12:13" ht="14.25" customHeight="1" x14ac:dyDescent="0.35">
      <c r="L489" s="11"/>
      <c r="M489" s="11"/>
    </row>
    <row r="490" spans="12:13" ht="14.25" customHeight="1" x14ac:dyDescent="0.35">
      <c r="L490" s="11"/>
      <c r="M490" s="11"/>
    </row>
    <row r="491" spans="12:13" ht="14.25" customHeight="1" x14ac:dyDescent="0.35">
      <c r="L491" s="11"/>
      <c r="M491" s="11"/>
    </row>
    <row r="492" spans="12:13" ht="14.25" customHeight="1" x14ac:dyDescent="0.35">
      <c r="L492" s="11"/>
      <c r="M492" s="11"/>
    </row>
    <row r="493" spans="12:13" ht="14.25" customHeight="1" x14ac:dyDescent="0.35">
      <c r="L493" s="11"/>
      <c r="M493" s="11"/>
    </row>
    <row r="494" spans="12:13" ht="14.25" customHeight="1" x14ac:dyDescent="0.35">
      <c r="L494" s="11"/>
      <c r="M494" s="11"/>
    </row>
    <row r="495" spans="12:13" ht="14.25" customHeight="1" x14ac:dyDescent="0.35">
      <c r="L495" s="11"/>
      <c r="M495" s="11"/>
    </row>
    <row r="496" spans="12:13" ht="14.25" customHeight="1" x14ac:dyDescent="0.35">
      <c r="L496" s="11"/>
      <c r="M496" s="11"/>
    </row>
    <row r="497" spans="12:13" ht="14.25" customHeight="1" x14ac:dyDescent="0.35">
      <c r="L497" s="11"/>
      <c r="M497" s="11"/>
    </row>
    <row r="498" spans="12:13" ht="14.25" customHeight="1" x14ac:dyDescent="0.35">
      <c r="L498" s="11"/>
      <c r="M498" s="11"/>
    </row>
    <row r="499" spans="12:13" ht="14.25" customHeight="1" x14ac:dyDescent="0.35">
      <c r="L499" s="11"/>
      <c r="M499" s="11"/>
    </row>
    <row r="500" spans="12:13" ht="14.25" customHeight="1" x14ac:dyDescent="0.35">
      <c r="L500" s="11"/>
      <c r="M500" s="11"/>
    </row>
    <row r="501" spans="12:13" ht="14.25" customHeight="1" x14ac:dyDescent="0.35">
      <c r="L501" s="11"/>
      <c r="M501" s="11"/>
    </row>
    <row r="502" spans="12:13" ht="14.25" customHeight="1" x14ac:dyDescent="0.35">
      <c r="L502" s="11"/>
      <c r="M502" s="11"/>
    </row>
    <row r="503" spans="12:13" ht="14.25" customHeight="1" x14ac:dyDescent="0.35">
      <c r="L503" s="11"/>
      <c r="M503" s="11"/>
    </row>
    <row r="504" spans="12:13" ht="14.25" customHeight="1" x14ac:dyDescent="0.35">
      <c r="L504" s="11"/>
      <c r="M504" s="11"/>
    </row>
    <row r="505" spans="12:13" ht="14.25" customHeight="1" x14ac:dyDescent="0.35">
      <c r="L505" s="11"/>
      <c r="M505" s="11"/>
    </row>
    <row r="506" spans="12:13" ht="14.25" customHeight="1" x14ac:dyDescent="0.35">
      <c r="L506" s="11"/>
      <c r="M506" s="11"/>
    </row>
    <row r="507" spans="12:13" ht="14.25" customHeight="1" x14ac:dyDescent="0.35">
      <c r="L507" s="11"/>
      <c r="M507" s="11"/>
    </row>
    <row r="508" spans="12:13" ht="14.25" customHeight="1" x14ac:dyDescent="0.35">
      <c r="L508" s="11"/>
      <c r="M508" s="11"/>
    </row>
    <row r="509" spans="12:13" ht="14.25" customHeight="1" x14ac:dyDescent="0.35">
      <c r="L509" s="11"/>
      <c r="M509" s="11"/>
    </row>
    <row r="510" spans="12:13" ht="14.25" customHeight="1" x14ac:dyDescent="0.35">
      <c r="L510" s="11"/>
      <c r="M510" s="11"/>
    </row>
    <row r="511" spans="12:13" ht="14.25" customHeight="1" x14ac:dyDescent="0.35">
      <c r="L511" s="11"/>
      <c r="M511" s="11"/>
    </row>
    <row r="512" spans="12:13" ht="14.25" customHeight="1" x14ac:dyDescent="0.35">
      <c r="L512" s="11"/>
      <c r="M512" s="11"/>
    </row>
    <row r="513" spans="12:13" ht="14.25" customHeight="1" x14ac:dyDescent="0.35">
      <c r="L513" s="11"/>
      <c r="M513" s="11"/>
    </row>
    <row r="514" spans="12:13" ht="14.25" customHeight="1" x14ac:dyDescent="0.35">
      <c r="L514" s="11"/>
      <c r="M514" s="11"/>
    </row>
    <row r="515" spans="12:13" ht="14.25" customHeight="1" x14ac:dyDescent="0.35">
      <c r="L515" s="11"/>
      <c r="M515" s="11"/>
    </row>
    <row r="516" spans="12:13" ht="14.25" customHeight="1" x14ac:dyDescent="0.35">
      <c r="L516" s="11"/>
      <c r="M516" s="11"/>
    </row>
    <row r="517" spans="12:13" ht="14.25" customHeight="1" x14ac:dyDescent="0.35">
      <c r="L517" s="11"/>
      <c r="M517" s="11"/>
    </row>
    <row r="518" spans="12:13" ht="14.25" customHeight="1" x14ac:dyDescent="0.35">
      <c r="L518" s="11"/>
      <c r="M518" s="11"/>
    </row>
    <row r="519" spans="12:13" ht="14.25" customHeight="1" x14ac:dyDescent="0.35">
      <c r="L519" s="11"/>
      <c r="M519" s="11"/>
    </row>
    <row r="520" spans="12:13" ht="14.25" customHeight="1" x14ac:dyDescent="0.35">
      <c r="L520" s="11"/>
      <c r="M520" s="11"/>
    </row>
    <row r="521" spans="12:13" ht="14.25" customHeight="1" x14ac:dyDescent="0.35">
      <c r="L521" s="11"/>
      <c r="M521" s="11"/>
    </row>
    <row r="522" spans="12:13" ht="14.25" customHeight="1" x14ac:dyDescent="0.35">
      <c r="L522" s="11"/>
      <c r="M522" s="11"/>
    </row>
    <row r="523" spans="12:13" ht="14.25" customHeight="1" x14ac:dyDescent="0.35">
      <c r="L523" s="11"/>
      <c r="M523" s="11"/>
    </row>
    <row r="524" spans="12:13" ht="14.25" customHeight="1" x14ac:dyDescent="0.35">
      <c r="L524" s="11"/>
      <c r="M524" s="11"/>
    </row>
    <row r="525" spans="12:13" ht="14.25" customHeight="1" x14ac:dyDescent="0.35">
      <c r="L525" s="11"/>
      <c r="M525" s="11"/>
    </row>
    <row r="526" spans="12:13" ht="14.25" customHeight="1" x14ac:dyDescent="0.35">
      <c r="L526" s="11"/>
      <c r="M526" s="11"/>
    </row>
    <row r="527" spans="12:13" ht="14.25" customHeight="1" x14ac:dyDescent="0.35">
      <c r="L527" s="11"/>
      <c r="M527" s="11"/>
    </row>
    <row r="528" spans="12:13" ht="14.25" customHeight="1" x14ac:dyDescent="0.35">
      <c r="L528" s="11"/>
      <c r="M528" s="11"/>
    </row>
    <row r="529" spans="12:13" ht="14.25" customHeight="1" x14ac:dyDescent="0.35">
      <c r="L529" s="11"/>
      <c r="M529" s="11"/>
    </row>
    <row r="530" spans="12:13" ht="14.25" customHeight="1" x14ac:dyDescent="0.35">
      <c r="L530" s="11"/>
      <c r="M530" s="11"/>
    </row>
    <row r="531" spans="12:13" ht="14.25" customHeight="1" x14ac:dyDescent="0.35">
      <c r="L531" s="11"/>
      <c r="M531" s="11"/>
    </row>
    <row r="532" spans="12:13" ht="14.25" customHeight="1" x14ac:dyDescent="0.35">
      <c r="L532" s="11"/>
      <c r="M532" s="11"/>
    </row>
    <row r="533" spans="12:13" ht="14.25" customHeight="1" x14ac:dyDescent="0.35">
      <c r="L533" s="11"/>
      <c r="M533" s="11"/>
    </row>
    <row r="534" spans="12:13" ht="14.25" customHeight="1" x14ac:dyDescent="0.35">
      <c r="L534" s="11"/>
      <c r="M534" s="11"/>
    </row>
    <row r="535" spans="12:13" ht="14.25" customHeight="1" x14ac:dyDescent="0.35">
      <c r="L535" s="11"/>
      <c r="M535" s="11"/>
    </row>
    <row r="536" spans="12:13" ht="14.25" customHeight="1" x14ac:dyDescent="0.35">
      <c r="L536" s="11"/>
      <c r="M536" s="11"/>
    </row>
    <row r="537" spans="12:13" ht="14.25" customHeight="1" x14ac:dyDescent="0.35">
      <c r="L537" s="11"/>
      <c r="M537" s="11"/>
    </row>
    <row r="538" spans="12:13" ht="14.25" customHeight="1" x14ac:dyDescent="0.35">
      <c r="L538" s="11"/>
      <c r="M538" s="11"/>
    </row>
    <row r="539" spans="12:13" ht="14.25" customHeight="1" x14ac:dyDescent="0.35">
      <c r="L539" s="11"/>
      <c r="M539" s="11"/>
    </row>
    <row r="540" spans="12:13" ht="14.25" customHeight="1" x14ac:dyDescent="0.35">
      <c r="L540" s="11"/>
      <c r="M540" s="11"/>
    </row>
    <row r="541" spans="12:13" ht="14.25" customHeight="1" x14ac:dyDescent="0.35">
      <c r="L541" s="11"/>
      <c r="M541" s="11"/>
    </row>
    <row r="542" spans="12:13" ht="14.25" customHeight="1" x14ac:dyDescent="0.35">
      <c r="L542" s="11"/>
      <c r="M542" s="11"/>
    </row>
    <row r="543" spans="12:13" ht="14.25" customHeight="1" x14ac:dyDescent="0.35">
      <c r="L543" s="11"/>
      <c r="M543" s="11"/>
    </row>
    <row r="544" spans="12:13" ht="14.25" customHeight="1" x14ac:dyDescent="0.35">
      <c r="L544" s="11"/>
      <c r="M544" s="11"/>
    </row>
    <row r="545" spans="12:13" ht="14.25" customHeight="1" x14ac:dyDescent="0.35">
      <c r="L545" s="11"/>
      <c r="M545" s="11"/>
    </row>
    <row r="546" spans="12:13" ht="14.25" customHeight="1" x14ac:dyDescent="0.35">
      <c r="L546" s="11"/>
      <c r="M546" s="11"/>
    </row>
    <row r="547" spans="12:13" ht="14.25" customHeight="1" x14ac:dyDescent="0.35">
      <c r="L547" s="11"/>
      <c r="M547" s="11"/>
    </row>
    <row r="548" spans="12:13" ht="14.25" customHeight="1" x14ac:dyDescent="0.35">
      <c r="L548" s="11"/>
      <c r="M548" s="11"/>
    </row>
    <row r="549" spans="12:13" ht="14.25" customHeight="1" x14ac:dyDescent="0.35">
      <c r="L549" s="11"/>
      <c r="M549" s="11"/>
    </row>
    <row r="550" spans="12:13" ht="14.25" customHeight="1" x14ac:dyDescent="0.35">
      <c r="L550" s="11"/>
      <c r="M550" s="11"/>
    </row>
    <row r="551" spans="12:13" ht="14.25" customHeight="1" x14ac:dyDescent="0.35">
      <c r="L551" s="11"/>
      <c r="M551" s="11"/>
    </row>
    <row r="552" spans="12:13" ht="14.25" customHeight="1" x14ac:dyDescent="0.35">
      <c r="L552" s="11"/>
      <c r="M552" s="11"/>
    </row>
    <row r="553" spans="12:13" ht="14.25" customHeight="1" x14ac:dyDescent="0.35">
      <c r="L553" s="11"/>
      <c r="M553" s="11"/>
    </row>
    <row r="554" spans="12:13" ht="14.25" customHeight="1" x14ac:dyDescent="0.35">
      <c r="L554" s="11"/>
      <c r="M554" s="11"/>
    </row>
    <row r="555" spans="12:13" ht="14.25" customHeight="1" x14ac:dyDescent="0.35">
      <c r="L555" s="11"/>
      <c r="M555" s="11"/>
    </row>
    <row r="556" spans="12:13" ht="14.25" customHeight="1" x14ac:dyDescent="0.35">
      <c r="L556" s="11"/>
      <c r="M556" s="11"/>
    </row>
    <row r="557" spans="12:13" ht="14.25" customHeight="1" x14ac:dyDescent="0.35">
      <c r="L557" s="11"/>
      <c r="M557" s="11"/>
    </row>
    <row r="558" spans="12:13" ht="14.25" customHeight="1" x14ac:dyDescent="0.35">
      <c r="L558" s="11"/>
      <c r="M558" s="11"/>
    </row>
    <row r="559" spans="12:13" ht="14.25" customHeight="1" x14ac:dyDescent="0.35">
      <c r="L559" s="11"/>
      <c r="M559" s="11"/>
    </row>
    <row r="560" spans="12:13" ht="14.25" customHeight="1" x14ac:dyDescent="0.35">
      <c r="L560" s="11"/>
      <c r="M560" s="11"/>
    </row>
    <row r="561" spans="12:13" ht="14.25" customHeight="1" x14ac:dyDescent="0.35">
      <c r="L561" s="11"/>
      <c r="M561" s="11"/>
    </row>
    <row r="562" spans="12:13" ht="14.25" customHeight="1" x14ac:dyDescent="0.35">
      <c r="L562" s="11"/>
      <c r="M562" s="11"/>
    </row>
    <row r="563" spans="12:13" ht="14.25" customHeight="1" x14ac:dyDescent="0.35">
      <c r="L563" s="11"/>
      <c r="M563" s="11"/>
    </row>
    <row r="564" spans="12:13" ht="14.25" customHeight="1" x14ac:dyDescent="0.35">
      <c r="L564" s="11"/>
      <c r="M564" s="11"/>
    </row>
    <row r="565" spans="12:13" ht="14.25" customHeight="1" x14ac:dyDescent="0.35">
      <c r="L565" s="11"/>
      <c r="M565" s="11"/>
    </row>
    <row r="566" spans="12:13" ht="14.25" customHeight="1" x14ac:dyDescent="0.35">
      <c r="L566" s="11"/>
      <c r="M566" s="11"/>
    </row>
    <row r="567" spans="12:13" ht="14.25" customHeight="1" x14ac:dyDescent="0.35">
      <c r="L567" s="11"/>
      <c r="M567" s="11"/>
    </row>
    <row r="568" spans="12:13" ht="14.25" customHeight="1" x14ac:dyDescent="0.35">
      <c r="L568" s="11"/>
      <c r="M568" s="11"/>
    </row>
    <row r="569" spans="12:13" ht="14.25" customHeight="1" x14ac:dyDescent="0.35">
      <c r="L569" s="11"/>
      <c r="M569" s="11"/>
    </row>
    <row r="570" spans="12:13" ht="14.25" customHeight="1" x14ac:dyDescent="0.35">
      <c r="L570" s="11"/>
      <c r="M570" s="11"/>
    </row>
    <row r="571" spans="12:13" ht="14.25" customHeight="1" x14ac:dyDescent="0.35">
      <c r="L571" s="11"/>
      <c r="M571" s="11"/>
    </row>
    <row r="572" spans="12:13" ht="14.25" customHeight="1" x14ac:dyDescent="0.35">
      <c r="L572" s="11"/>
      <c r="M572" s="11"/>
    </row>
    <row r="573" spans="12:13" ht="14.25" customHeight="1" x14ac:dyDescent="0.35">
      <c r="L573" s="11"/>
      <c r="M573" s="11"/>
    </row>
    <row r="574" spans="12:13" ht="14.25" customHeight="1" x14ac:dyDescent="0.35">
      <c r="L574" s="11"/>
      <c r="M574" s="11"/>
    </row>
    <row r="575" spans="12:13" ht="14.25" customHeight="1" x14ac:dyDescent="0.35">
      <c r="L575" s="11"/>
      <c r="M575" s="11"/>
    </row>
    <row r="576" spans="12:13" ht="14.25" customHeight="1" x14ac:dyDescent="0.35">
      <c r="L576" s="11"/>
      <c r="M576" s="11"/>
    </row>
    <row r="577" spans="12:13" ht="14.25" customHeight="1" x14ac:dyDescent="0.35">
      <c r="L577" s="11"/>
      <c r="M577" s="11"/>
    </row>
    <row r="578" spans="12:13" ht="14.25" customHeight="1" x14ac:dyDescent="0.35">
      <c r="L578" s="11"/>
      <c r="M578" s="11"/>
    </row>
    <row r="579" spans="12:13" ht="14.25" customHeight="1" x14ac:dyDescent="0.35">
      <c r="L579" s="11"/>
      <c r="M579" s="11"/>
    </row>
    <row r="580" spans="12:13" ht="14.25" customHeight="1" x14ac:dyDescent="0.35">
      <c r="L580" s="11"/>
      <c r="M580" s="11"/>
    </row>
    <row r="581" spans="12:13" ht="14.25" customHeight="1" x14ac:dyDescent="0.35">
      <c r="L581" s="11"/>
      <c r="M581" s="11"/>
    </row>
    <row r="582" spans="12:13" ht="14.25" customHeight="1" x14ac:dyDescent="0.35">
      <c r="L582" s="11"/>
      <c r="M582" s="11"/>
    </row>
    <row r="583" spans="12:13" ht="14.25" customHeight="1" x14ac:dyDescent="0.35">
      <c r="L583" s="11"/>
      <c r="M583" s="11"/>
    </row>
    <row r="584" spans="12:13" ht="14.25" customHeight="1" x14ac:dyDescent="0.35">
      <c r="L584" s="11"/>
      <c r="M584" s="11"/>
    </row>
    <row r="585" spans="12:13" ht="14.25" customHeight="1" x14ac:dyDescent="0.35">
      <c r="L585" s="11"/>
      <c r="M585" s="11"/>
    </row>
    <row r="586" spans="12:13" ht="14.25" customHeight="1" x14ac:dyDescent="0.35">
      <c r="L586" s="11"/>
      <c r="M586" s="11"/>
    </row>
    <row r="587" spans="12:13" ht="14.25" customHeight="1" x14ac:dyDescent="0.35">
      <c r="L587" s="11"/>
      <c r="M587" s="11"/>
    </row>
    <row r="588" spans="12:13" ht="14.25" customHeight="1" x14ac:dyDescent="0.35">
      <c r="L588" s="11"/>
      <c r="M588" s="11"/>
    </row>
    <row r="589" spans="12:13" ht="14.25" customHeight="1" x14ac:dyDescent="0.35">
      <c r="L589" s="11"/>
      <c r="M589" s="11"/>
    </row>
    <row r="590" spans="12:13" ht="14.25" customHeight="1" x14ac:dyDescent="0.35">
      <c r="L590" s="11"/>
      <c r="M590" s="11"/>
    </row>
    <row r="591" spans="12:13" ht="14.25" customHeight="1" x14ac:dyDescent="0.35">
      <c r="L591" s="11"/>
      <c r="M591" s="11"/>
    </row>
    <row r="592" spans="12:13" ht="14.25" customHeight="1" x14ac:dyDescent="0.35">
      <c r="L592" s="11"/>
      <c r="M592" s="11"/>
    </row>
    <row r="593" spans="12:13" ht="14.25" customHeight="1" x14ac:dyDescent="0.35">
      <c r="L593" s="11"/>
      <c r="M593" s="11"/>
    </row>
    <row r="594" spans="12:13" ht="14.25" customHeight="1" x14ac:dyDescent="0.35">
      <c r="L594" s="11"/>
      <c r="M594" s="11"/>
    </row>
    <row r="595" spans="12:13" ht="14.25" customHeight="1" x14ac:dyDescent="0.35">
      <c r="L595" s="11"/>
      <c r="M595" s="11"/>
    </row>
    <row r="596" spans="12:13" ht="14.25" customHeight="1" x14ac:dyDescent="0.35">
      <c r="L596" s="11"/>
      <c r="M596" s="11"/>
    </row>
    <row r="597" spans="12:13" ht="14.25" customHeight="1" x14ac:dyDescent="0.35">
      <c r="L597" s="11"/>
      <c r="M597" s="11"/>
    </row>
    <row r="598" spans="12:13" ht="14.25" customHeight="1" x14ac:dyDescent="0.35">
      <c r="L598" s="11"/>
      <c r="M598" s="11"/>
    </row>
    <row r="599" spans="12:13" ht="14.25" customHeight="1" x14ac:dyDescent="0.35">
      <c r="L599" s="11"/>
      <c r="M599" s="11"/>
    </row>
    <row r="600" spans="12:13" ht="14.25" customHeight="1" x14ac:dyDescent="0.35">
      <c r="L600" s="11"/>
      <c r="M600" s="11"/>
    </row>
    <row r="601" spans="12:13" ht="14.25" customHeight="1" x14ac:dyDescent="0.35">
      <c r="L601" s="11"/>
      <c r="M601" s="11"/>
    </row>
    <row r="602" spans="12:13" ht="14.25" customHeight="1" x14ac:dyDescent="0.35">
      <c r="L602" s="11"/>
      <c r="M602" s="11"/>
    </row>
    <row r="603" spans="12:13" ht="14.25" customHeight="1" x14ac:dyDescent="0.35">
      <c r="L603" s="11"/>
      <c r="M603" s="11"/>
    </row>
    <row r="604" spans="12:13" ht="14.25" customHeight="1" x14ac:dyDescent="0.35">
      <c r="L604" s="11"/>
      <c r="M604" s="11"/>
    </row>
    <row r="605" spans="12:13" ht="14.25" customHeight="1" x14ac:dyDescent="0.35">
      <c r="L605" s="11"/>
      <c r="M605" s="11"/>
    </row>
    <row r="606" spans="12:13" ht="14.25" customHeight="1" x14ac:dyDescent="0.35">
      <c r="L606" s="11"/>
      <c r="M606" s="11"/>
    </row>
    <row r="607" spans="12:13" ht="14.25" customHeight="1" x14ac:dyDescent="0.35">
      <c r="L607" s="11"/>
      <c r="M607" s="11"/>
    </row>
    <row r="608" spans="12:13" ht="14.25" customHeight="1" x14ac:dyDescent="0.35">
      <c r="L608" s="11"/>
      <c r="M608" s="11"/>
    </row>
    <row r="609" spans="12:13" ht="14.25" customHeight="1" x14ac:dyDescent="0.35">
      <c r="L609" s="11"/>
      <c r="M609" s="11"/>
    </row>
    <row r="610" spans="12:13" ht="14.25" customHeight="1" x14ac:dyDescent="0.35">
      <c r="L610" s="11"/>
      <c r="M610" s="11"/>
    </row>
    <row r="611" spans="12:13" ht="14.25" customHeight="1" x14ac:dyDescent="0.35">
      <c r="L611" s="11"/>
      <c r="M611" s="11"/>
    </row>
    <row r="612" spans="12:13" ht="14.25" customHeight="1" x14ac:dyDescent="0.35">
      <c r="L612" s="11"/>
      <c r="M612" s="11"/>
    </row>
    <row r="613" spans="12:13" ht="14.25" customHeight="1" x14ac:dyDescent="0.35">
      <c r="L613" s="11"/>
      <c r="M613" s="11"/>
    </row>
    <row r="614" spans="12:13" ht="14.25" customHeight="1" x14ac:dyDescent="0.35">
      <c r="L614" s="11"/>
      <c r="M614" s="11"/>
    </row>
    <row r="615" spans="12:13" ht="14.25" customHeight="1" x14ac:dyDescent="0.35">
      <c r="L615" s="11"/>
      <c r="M615" s="11"/>
    </row>
    <row r="616" spans="12:13" ht="14.25" customHeight="1" x14ac:dyDescent="0.35">
      <c r="L616" s="11"/>
      <c r="M616" s="11"/>
    </row>
    <row r="617" spans="12:13" ht="14.25" customHeight="1" x14ac:dyDescent="0.35">
      <c r="L617" s="11"/>
      <c r="M617" s="11"/>
    </row>
    <row r="618" spans="12:13" ht="14.25" customHeight="1" x14ac:dyDescent="0.35">
      <c r="L618" s="11"/>
      <c r="M618" s="11"/>
    </row>
    <row r="619" spans="12:13" ht="14.25" customHeight="1" x14ac:dyDescent="0.35">
      <c r="L619" s="11"/>
      <c r="M619" s="11"/>
    </row>
    <row r="620" spans="12:13" ht="14.25" customHeight="1" x14ac:dyDescent="0.35">
      <c r="L620" s="11"/>
      <c r="M620" s="11"/>
    </row>
    <row r="621" spans="12:13" ht="14.25" customHeight="1" x14ac:dyDescent="0.35">
      <c r="L621" s="11"/>
      <c r="M621" s="11"/>
    </row>
    <row r="622" spans="12:13" ht="14.25" customHeight="1" x14ac:dyDescent="0.35">
      <c r="L622" s="11"/>
      <c r="M622" s="11"/>
    </row>
    <row r="623" spans="12:13" ht="14.25" customHeight="1" x14ac:dyDescent="0.35">
      <c r="L623" s="11"/>
      <c r="M623" s="11"/>
    </row>
    <row r="624" spans="12:13" ht="14.25" customHeight="1" x14ac:dyDescent="0.35">
      <c r="L624" s="11"/>
      <c r="M624" s="11"/>
    </row>
    <row r="625" spans="12:13" ht="14.25" customHeight="1" x14ac:dyDescent="0.35">
      <c r="L625" s="11"/>
      <c r="M625" s="11"/>
    </row>
    <row r="626" spans="12:13" ht="14.25" customHeight="1" x14ac:dyDescent="0.35">
      <c r="L626" s="11"/>
      <c r="M626" s="11"/>
    </row>
    <row r="627" spans="12:13" ht="14.25" customHeight="1" x14ac:dyDescent="0.35">
      <c r="L627" s="11"/>
      <c r="M627" s="11"/>
    </row>
    <row r="628" spans="12:13" ht="14.25" customHeight="1" x14ac:dyDescent="0.35">
      <c r="L628" s="11"/>
      <c r="M628" s="11"/>
    </row>
    <row r="629" spans="12:13" ht="14.25" customHeight="1" x14ac:dyDescent="0.35">
      <c r="L629" s="11"/>
      <c r="M629" s="11"/>
    </row>
    <row r="630" spans="12:13" ht="14.25" customHeight="1" x14ac:dyDescent="0.35">
      <c r="L630" s="11"/>
      <c r="M630" s="11"/>
    </row>
    <row r="631" spans="12:13" ht="14.25" customHeight="1" x14ac:dyDescent="0.35">
      <c r="L631" s="11"/>
      <c r="M631" s="11"/>
    </row>
    <row r="632" spans="12:13" ht="14.25" customHeight="1" x14ac:dyDescent="0.35">
      <c r="L632" s="11"/>
      <c r="M632" s="11"/>
    </row>
    <row r="633" spans="12:13" ht="14.25" customHeight="1" x14ac:dyDescent="0.35">
      <c r="L633" s="11"/>
      <c r="M633" s="11"/>
    </row>
    <row r="634" spans="12:13" ht="14.25" customHeight="1" x14ac:dyDescent="0.35">
      <c r="L634" s="11"/>
      <c r="M634" s="11"/>
    </row>
    <row r="635" spans="12:13" ht="14.25" customHeight="1" x14ac:dyDescent="0.35">
      <c r="L635" s="11"/>
      <c r="M635" s="11"/>
    </row>
    <row r="636" spans="12:13" ht="14.25" customHeight="1" x14ac:dyDescent="0.35">
      <c r="L636" s="11"/>
      <c r="M636" s="11"/>
    </row>
    <row r="637" spans="12:13" ht="14.25" customHeight="1" x14ac:dyDescent="0.35">
      <c r="L637" s="11"/>
      <c r="M637" s="11"/>
    </row>
    <row r="638" spans="12:13" ht="14.25" customHeight="1" x14ac:dyDescent="0.35">
      <c r="L638" s="11"/>
      <c r="M638" s="11"/>
    </row>
    <row r="639" spans="12:13" ht="14.25" customHeight="1" x14ac:dyDescent="0.35">
      <c r="L639" s="11"/>
      <c r="M639" s="11"/>
    </row>
    <row r="640" spans="12:13" ht="14.25" customHeight="1" x14ac:dyDescent="0.35">
      <c r="L640" s="11"/>
      <c r="M640" s="11"/>
    </row>
    <row r="641" spans="12:13" ht="14.25" customHeight="1" x14ac:dyDescent="0.35">
      <c r="L641" s="11"/>
      <c r="M641" s="11"/>
    </row>
    <row r="642" spans="12:13" ht="14.25" customHeight="1" x14ac:dyDescent="0.35">
      <c r="L642" s="11"/>
      <c r="M642" s="11"/>
    </row>
    <row r="643" spans="12:13" ht="14.25" customHeight="1" x14ac:dyDescent="0.35">
      <c r="L643" s="11"/>
      <c r="M643" s="11"/>
    </row>
    <row r="644" spans="12:13" ht="14.25" customHeight="1" x14ac:dyDescent="0.35">
      <c r="L644" s="11"/>
      <c r="M644" s="11"/>
    </row>
    <row r="645" spans="12:13" ht="14.25" customHeight="1" x14ac:dyDescent="0.35">
      <c r="L645" s="11"/>
      <c r="M645" s="11"/>
    </row>
    <row r="646" spans="12:13" ht="14.25" customHeight="1" x14ac:dyDescent="0.35">
      <c r="L646" s="11"/>
      <c r="M646" s="11"/>
    </row>
    <row r="647" spans="12:13" ht="14.25" customHeight="1" x14ac:dyDescent="0.35">
      <c r="L647" s="11"/>
      <c r="M647" s="11"/>
    </row>
    <row r="648" spans="12:13" ht="14.25" customHeight="1" x14ac:dyDescent="0.35">
      <c r="L648" s="11"/>
      <c r="M648" s="11"/>
    </row>
    <row r="649" spans="12:13" ht="14.25" customHeight="1" x14ac:dyDescent="0.35">
      <c r="L649" s="11"/>
      <c r="M649" s="11"/>
    </row>
    <row r="650" spans="12:13" ht="14.25" customHeight="1" x14ac:dyDescent="0.35">
      <c r="L650" s="11"/>
      <c r="M650" s="11"/>
    </row>
    <row r="651" spans="12:13" ht="14.25" customHeight="1" x14ac:dyDescent="0.35">
      <c r="L651" s="11"/>
      <c r="M651" s="11"/>
    </row>
    <row r="652" spans="12:13" ht="14.25" customHeight="1" x14ac:dyDescent="0.35">
      <c r="L652" s="11"/>
      <c r="M652" s="11"/>
    </row>
    <row r="653" spans="12:13" ht="14.25" customHeight="1" x14ac:dyDescent="0.35">
      <c r="L653" s="11"/>
      <c r="M653" s="11"/>
    </row>
    <row r="654" spans="12:13" ht="14.25" customHeight="1" x14ac:dyDescent="0.35">
      <c r="L654" s="11"/>
      <c r="M654" s="11"/>
    </row>
    <row r="655" spans="12:13" ht="14.25" customHeight="1" x14ac:dyDescent="0.35">
      <c r="L655" s="11"/>
      <c r="M655" s="11"/>
    </row>
    <row r="656" spans="12:13" ht="14.25" customHeight="1" x14ac:dyDescent="0.35">
      <c r="L656" s="11"/>
      <c r="M656" s="11"/>
    </row>
    <row r="657" spans="12:13" ht="14.25" customHeight="1" x14ac:dyDescent="0.35">
      <c r="L657" s="11"/>
      <c r="M657" s="11"/>
    </row>
    <row r="658" spans="12:13" ht="14.25" customHeight="1" x14ac:dyDescent="0.35">
      <c r="L658" s="11"/>
      <c r="M658" s="11"/>
    </row>
    <row r="659" spans="12:13" ht="14.25" customHeight="1" x14ac:dyDescent="0.35">
      <c r="L659" s="11"/>
      <c r="M659" s="11"/>
    </row>
    <row r="660" spans="12:13" ht="14.25" customHeight="1" x14ac:dyDescent="0.35">
      <c r="L660" s="11"/>
      <c r="M660" s="11"/>
    </row>
    <row r="661" spans="12:13" ht="14.25" customHeight="1" x14ac:dyDescent="0.35">
      <c r="L661" s="11"/>
      <c r="M661" s="11"/>
    </row>
    <row r="662" spans="12:13" ht="14.25" customHeight="1" x14ac:dyDescent="0.35">
      <c r="L662" s="11"/>
      <c r="M662" s="11"/>
    </row>
    <row r="663" spans="12:13" ht="14.25" customHeight="1" x14ac:dyDescent="0.35">
      <c r="L663" s="11"/>
      <c r="M663" s="11"/>
    </row>
    <row r="664" spans="12:13" ht="14.25" customHeight="1" x14ac:dyDescent="0.35">
      <c r="L664" s="11"/>
      <c r="M664" s="11"/>
    </row>
    <row r="665" spans="12:13" ht="14.25" customHeight="1" x14ac:dyDescent="0.35">
      <c r="L665" s="11"/>
      <c r="M665" s="11"/>
    </row>
    <row r="666" spans="12:13" ht="14.25" customHeight="1" x14ac:dyDescent="0.35">
      <c r="L666" s="11"/>
      <c r="M666" s="11"/>
    </row>
    <row r="667" spans="12:13" ht="14.25" customHeight="1" x14ac:dyDescent="0.35">
      <c r="L667" s="11"/>
      <c r="M667" s="11"/>
    </row>
    <row r="668" spans="12:13" ht="14.25" customHeight="1" x14ac:dyDescent="0.35">
      <c r="L668" s="11"/>
      <c r="M668" s="11"/>
    </row>
    <row r="669" spans="12:13" ht="14.25" customHeight="1" x14ac:dyDescent="0.35">
      <c r="L669" s="11"/>
      <c r="M669" s="11"/>
    </row>
    <row r="670" spans="12:13" ht="14.25" customHeight="1" x14ac:dyDescent="0.35">
      <c r="L670" s="11"/>
      <c r="M670" s="11"/>
    </row>
    <row r="671" spans="12:13" ht="14.25" customHeight="1" x14ac:dyDescent="0.35">
      <c r="L671" s="11"/>
      <c r="M671" s="11"/>
    </row>
    <row r="672" spans="12:13" ht="14.25" customHeight="1" x14ac:dyDescent="0.35">
      <c r="L672" s="11"/>
      <c r="M672" s="11"/>
    </row>
    <row r="673" spans="12:13" ht="14.25" customHeight="1" x14ac:dyDescent="0.35">
      <c r="L673" s="11"/>
      <c r="M673" s="11"/>
    </row>
    <row r="674" spans="12:13" ht="14.25" customHeight="1" x14ac:dyDescent="0.35">
      <c r="L674" s="11"/>
      <c r="M674" s="11"/>
    </row>
    <row r="675" spans="12:13" ht="14.25" customHeight="1" x14ac:dyDescent="0.35">
      <c r="L675" s="11"/>
      <c r="M675" s="11"/>
    </row>
    <row r="676" spans="12:13" ht="14.25" customHeight="1" x14ac:dyDescent="0.35">
      <c r="L676" s="11"/>
      <c r="M676" s="11"/>
    </row>
    <row r="677" spans="12:13" ht="14.25" customHeight="1" x14ac:dyDescent="0.35">
      <c r="L677" s="11"/>
      <c r="M677" s="11"/>
    </row>
    <row r="678" spans="12:13" ht="14.25" customHeight="1" x14ac:dyDescent="0.35">
      <c r="L678" s="11"/>
      <c r="M678" s="11"/>
    </row>
    <row r="679" spans="12:13" ht="14.25" customHeight="1" x14ac:dyDescent="0.35">
      <c r="L679" s="11"/>
      <c r="M679" s="11"/>
    </row>
    <row r="680" spans="12:13" ht="14.25" customHeight="1" x14ac:dyDescent="0.35">
      <c r="L680" s="11"/>
      <c r="M680" s="11"/>
    </row>
    <row r="681" spans="12:13" ht="14.25" customHeight="1" x14ac:dyDescent="0.35">
      <c r="L681" s="11"/>
      <c r="M681" s="11"/>
    </row>
    <row r="682" spans="12:13" ht="14.25" customHeight="1" x14ac:dyDescent="0.35">
      <c r="L682" s="11"/>
      <c r="M682" s="11"/>
    </row>
    <row r="683" spans="12:13" ht="14.25" customHeight="1" x14ac:dyDescent="0.35">
      <c r="L683" s="11"/>
      <c r="M683" s="11"/>
    </row>
    <row r="684" spans="12:13" ht="14.25" customHeight="1" x14ac:dyDescent="0.35">
      <c r="L684" s="11"/>
      <c r="M684" s="11"/>
    </row>
    <row r="685" spans="12:13" ht="14.25" customHeight="1" x14ac:dyDescent="0.35">
      <c r="L685" s="11"/>
      <c r="M685" s="11"/>
    </row>
    <row r="686" spans="12:13" ht="14.25" customHeight="1" x14ac:dyDescent="0.35">
      <c r="L686" s="11"/>
      <c r="M686" s="11"/>
    </row>
    <row r="687" spans="12:13" ht="14.25" customHeight="1" x14ac:dyDescent="0.35">
      <c r="L687" s="11"/>
      <c r="M687" s="11"/>
    </row>
    <row r="688" spans="12:13" ht="14.25" customHeight="1" x14ac:dyDescent="0.35">
      <c r="L688" s="11"/>
      <c r="M688" s="11"/>
    </row>
    <row r="689" spans="12:13" ht="14.25" customHeight="1" x14ac:dyDescent="0.35">
      <c r="L689" s="11"/>
      <c r="M689" s="11"/>
    </row>
    <row r="690" spans="12:13" ht="14.25" customHeight="1" x14ac:dyDescent="0.35">
      <c r="L690" s="11"/>
      <c r="M690" s="11"/>
    </row>
    <row r="691" spans="12:13" ht="14.25" customHeight="1" x14ac:dyDescent="0.35">
      <c r="L691" s="11"/>
      <c r="M691" s="11"/>
    </row>
    <row r="692" spans="12:13" ht="14.25" customHeight="1" x14ac:dyDescent="0.35">
      <c r="L692" s="11"/>
      <c r="M692" s="11"/>
    </row>
    <row r="693" spans="12:13" ht="14.25" customHeight="1" x14ac:dyDescent="0.35">
      <c r="L693" s="11"/>
      <c r="M693" s="11"/>
    </row>
    <row r="694" spans="12:13" ht="14.25" customHeight="1" x14ac:dyDescent="0.35">
      <c r="L694" s="11"/>
      <c r="M694" s="11"/>
    </row>
    <row r="695" spans="12:13" ht="14.25" customHeight="1" x14ac:dyDescent="0.35">
      <c r="L695" s="11"/>
      <c r="M695" s="11"/>
    </row>
    <row r="696" spans="12:13" ht="14.25" customHeight="1" x14ac:dyDescent="0.35">
      <c r="L696" s="11"/>
      <c r="M696" s="11"/>
    </row>
    <row r="697" spans="12:13" ht="14.25" customHeight="1" x14ac:dyDescent="0.35">
      <c r="L697" s="11"/>
      <c r="M697" s="11"/>
    </row>
    <row r="698" spans="12:13" ht="14.25" customHeight="1" x14ac:dyDescent="0.35">
      <c r="L698" s="11"/>
      <c r="M698" s="11"/>
    </row>
    <row r="699" spans="12:13" ht="14.25" customHeight="1" x14ac:dyDescent="0.35">
      <c r="L699" s="11"/>
      <c r="M699" s="11"/>
    </row>
    <row r="700" spans="12:13" ht="14.25" customHeight="1" x14ac:dyDescent="0.35">
      <c r="L700" s="11"/>
      <c r="M700" s="11"/>
    </row>
    <row r="701" spans="12:13" ht="14.25" customHeight="1" x14ac:dyDescent="0.35">
      <c r="L701" s="11"/>
      <c r="M701" s="11"/>
    </row>
    <row r="702" spans="12:13" ht="14.25" customHeight="1" x14ac:dyDescent="0.35">
      <c r="L702" s="11"/>
      <c r="M702" s="11"/>
    </row>
    <row r="703" spans="12:13" ht="14.25" customHeight="1" x14ac:dyDescent="0.35">
      <c r="L703" s="11"/>
      <c r="M703" s="11"/>
    </row>
    <row r="704" spans="12:13" ht="14.25" customHeight="1" x14ac:dyDescent="0.35">
      <c r="L704" s="11"/>
      <c r="M704" s="11"/>
    </row>
    <row r="705" spans="12:13" ht="14.25" customHeight="1" x14ac:dyDescent="0.35">
      <c r="L705" s="11"/>
      <c r="M705" s="11"/>
    </row>
    <row r="706" spans="12:13" ht="14.25" customHeight="1" x14ac:dyDescent="0.35">
      <c r="L706" s="11"/>
      <c r="M706" s="11"/>
    </row>
    <row r="707" spans="12:13" ht="14.25" customHeight="1" x14ac:dyDescent="0.35">
      <c r="L707" s="11"/>
      <c r="M707" s="11"/>
    </row>
    <row r="708" spans="12:13" ht="14.25" customHeight="1" x14ac:dyDescent="0.35">
      <c r="L708" s="11"/>
      <c r="M708" s="11"/>
    </row>
    <row r="709" spans="12:13" ht="14.25" customHeight="1" x14ac:dyDescent="0.35">
      <c r="L709" s="11"/>
      <c r="M709" s="11"/>
    </row>
    <row r="710" spans="12:13" ht="14.25" customHeight="1" x14ac:dyDescent="0.35">
      <c r="L710" s="11"/>
      <c r="M710" s="11"/>
    </row>
    <row r="711" spans="12:13" ht="14.25" customHeight="1" x14ac:dyDescent="0.35">
      <c r="L711" s="11"/>
      <c r="M711" s="11"/>
    </row>
    <row r="712" spans="12:13" ht="14.25" customHeight="1" x14ac:dyDescent="0.35">
      <c r="L712" s="11"/>
      <c r="M712" s="11"/>
    </row>
    <row r="713" spans="12:13" ht="14.25" customHeight="1" x14ac:dyDescent="0.35">
      <c r="L713" s="11"/>
      <c r="M713" s="11"/>
    </row>
    <row r="714" spans="12:13" ht="14.25" customHeight="1" x14ac:dyDescent="0.35">
      <c r="L714" s="11"/>
      <c r="M714" s="11"/>
    </row>
    <row r="715" spans="12:13" ht="14.25" customHeight="1" x14ac:dyDescent="0.35">
      <c r="L715" s="11"/>
      <c r="M715" s="11"/>
    </row>
    <row r="716" spans="12:13" ht="14.25" customHeight="1" x14ac:dyDescent="0.35">
      <c r="L716" s="11"/>
      <c r="M716" s="11"/>
    </row>
    <row r="717" spans="12:13" ht="14.25" customHeight="1" x14ac:dyDescent="0.35">
      <c r="L717" s="11"/>
      <c r="M717" s="11"/>
    </row>
    <row r="718" spans="12:13" ht="14.25" customHeight="1" x14ac:dyDescent="0.35">
      <c r="L718" s="11"/>
      <c r="M718" s="11"/>
    </row>
    <row r="719" spans="12:13" ht="14.25" customHeight="1" x14ac:dyDescent="0.35">
      <c r="L719" s="11"/>
      <c r="M719" s="11"/>
    </row>
    <row r="720" spans="12:13" ht="14.25" customHeight="1" x14ac:dyDescent="0.35">
      <c r="L720" s="11"/>
      <c r="M720" s="11"/>
    </row>
    <row r="721" spans="12:13" ht="14.25" customHeight="1" x14ac:dyDescent="0.35">
      <c r="L721" s="11"/>
      <c r="M721" s="11"/>
    </row>
    <row r="722" spans="12:13" ht="14.25" customHeight="1" x14ac:dyDescent="0.35">
      <c r="L722" s="11"/>
      <c r="M722" s="11"/>
    </row>
    <row r="723" spans="12:13" ht="14.25" customHeight="1" x14ac:dyDescent="0.35">
      <c r="L723" s="11"/>
      <c r="M723" s="11"/>
    </row>
    <row r="724" spans="12:13" ht="14.25" customHeight="1" x14ac:dyDescent="0.35">
      <c r="L724" s="11"/>
      <c r="M724" s="11"/>
    </row>
    <row r="725" spans="12:13" ht="14.25" customHeight="1" x14ac:dyDescent="0.35">
      <c r="L725" s="11"/>
      <c r="M725" s="11"/>
    </row>
    <row r="726" spans="12:13" ht="14.25" customHeight="1" x14ac:dyDescent="0.35">
      <c r="L726" s="11"/>
      <c r="M726" s="11"/>
    </row>
    <row r="727" spans="12:13" ht="14.25" customHeight="1" x14ac:dyDescent="0.35">
      <c r="L727" s="11"/>
      <c r="M727" s="11"/>
    </row>
    <row r="728" spans="12:13" ht="14.25" customHeight="1" x14ac:dyDescent="0.35">
      <c r="L728" s="11"/>
      <c r="M728" s="11"/>
    </row>
    <row r="729" spans="12:13" ht="14.25" customHeight="1" x14ac:dyDescent="0.35">
      <c r="L729" s="11"/>
      <c r="M729" s="11"/>
    </row>
    <row r="730" spans="12:13" ht="14.25" customHeight="1" x14ac:dyDescent="0.35">
      <c r="L730" s="11"/>
      <c r="M730" s="11"/>
    </row>
    <row r="731" spans="12:13" ht="14.25" customHeight="1" x14ac:dyDescent="0.35">
      <c r="L731" s="11"/>
      <c r="M731" s="11"/>
    </row>
    <row r="732" spans="12:13" ht="14.25" customHeight="1" x14ac:dyDescent="0.35">
      <c r="L732" s="11"/>
      <c r="M732" s="11"/>
    </row>
    <row r="733" spans="12:13" ht="14.25" customHeight="1" x14ac:dyDescent="0.35">
      <c r="L733" s="11"/>
      <c r="M733" s="11"/>
    </row>
    <row r="734" spans="12:13" ht="14.25" customHeight="1" x14ac:dyDescent="0.35">
      <c r="L734" s="11"/>
      <c r="M734" s="11"/>
    </row>
    <row r="735" spans="12:13" ht="14.25" customHeight="1" x14ac:dyDescent="0.35">
      <c r="L735" s="11"/>
      <c r="M735" s="11"/>
    </row>
    <row r="736" spans="12:13" ht="14.25" customHeight="1" x14ac:dyDescent="0.35">
      <c r="L736" s="11"/>
      <c r="M736" s="11"/>
    </row>
    <row r="737" spans="12:13" ht="14.25" customHeight="1" x14ac:dyDescent="0.35">
      <c r="L737" s="11"/>
      <c r="M737" s="11"/>
    </row>
    <row r="738" spans="12:13" ht="14.25" customHeight="1" x14ac:dyDescent="0.35">
      <c r="L738" s="11"/>
      <c r="M738" s="11"/>
    </row>
    <row r="739" spans="12:13" ht="14.25" customHeight="1" x14ac:dyDescent="0.35">
      <c r="L739" s="11"/>
      <c r="M739" s="11"/>
    </row>
    <row r="740" spans="12:13" ht="14.25" customHeight="1" x14ac:dyDescent="0.35">
      <c r="L740" s="11"/>
      <c r="M740" s="11"/>
    </row>
    <row r="741" spans="12:13" ht="14.25" customHeight="1" x14ac:dyDescent="0.35">
      <c r="L741" s="11"/>
      <c r="M741" s="11"/>
    </row>
    <row r="742" spans="12:13" ht="14.25" customHeight="1" x14ac:dyDescent="0.35">
      <c r="L742" s="11"/>
      <c r="M742" s="11"/>
    </row>
    <row r="743" spans="12:13" ht="14.25" customHeight="1" x14ac:dyDescent="0.35">
      <c r="L743" s="11"/>
      <c r="M743" s="11"/>
    </row>
    <row r="744" spans="12:13" ht="14.25" customHeight="1" x14ac:dyDescent="0.35">
      <c r="L744" s="11"/>
      <c r="M744" s="11"/>
    </row>
    <row r="745" spans="12:13" ht="14.25" customHeight="1" x14ac:dyDescent="0.35">
      <c r="L745" s="11"/>
      <c r="M745" s="11"/>
    </row>
    <row r="746" spans="12:13" ht="14.25" customHeight="1" x14ac:dyDescent="0.35">
      <c r="L746" s="11"/>
      <c r="M746" s="11"/>
    </row>
    <row r="747" spans="12:13" ht="14.25" customHeight="1" x14ac:dyDescent="0.35">
      <c r="L747" s="11"/>
      <c r="M747" s="11"/>
    </row>
    <row r="748" spans="12:13" ht="14.25" customHeight="1" x14ac:dyDescent="0.35">
      <c r="L748" s="11"/>
      <c r="M748" s="11"/>
    </row>
    <row r="749" spans="12:13" ht="14.25" customHeight="1" x14ac:dyDescent="0.35">
      <c r="L749" s="11"/>
      <c r="M749" s="11"/>
    </row>
    <row r="750" spans="12:13" ht="14.25" customHeight="1" x14ac:dyDescent="0.35">
      <c r="L750" s="11"/>
      <c r="M750" s="11"/>
    </row>
    <row r="751" spans="12:13" ht="14.25" customHeight="1" x14ac:dyDescent="0.35">
      <c r="L751" s="11"/>
      <c r="M751" s="11"/>
    </row>
    <row r="752" spans="12:13" ht="14.25" customHeight="1" x14ac:dyDescent="0.35">
      <c r="L752" s="11"/>
      <c r="M752" s="11"/>
    </row>
    <row r="753" spans="12:13" ht="14.25" customHeight="1" x14ac:dyDescent="0.35">
      <c r="L753" s="11"/>
      <c r="M753" s="11"/>
    </row>
    <row r="754" spans="12:13" ht="14.25" customHeight="1" x14ac:dyDescent="0.35">
      <c r="L754" s="11"/>
      <c r="M754" s="11"/>
    </row>
    <row r="755" spans="12:13" ht="14.25" customHeight="1" x14ac:dyDescent="0.35">
      <c r="L755" s="11"/>
      <c r="M755" s="11"/>
    </row>
    <row r="756" spans="12:13" ht="14.25" customHeight="1" x14ac:dyDescent="0.35">
      <c r="L756" s="11"/>
      <c r="M756" s="11"/>
    </row>
    <row r="757" spans="12:13" ht="14.25" customHeight="1" x14ac:dyDescent="0.35">
      <c r="L757" s="11"/>
      <c r="M757" s="11"/>
    </row>
    <row r="758" spans="12:13" ht="14.25" customHeight="1" x14ac:dyDescent="0.35">
      <c r="L758" s="11"/>
      <c r="M758" s="11"/>
    </row>
    <row r="759" spans="12:13" ht="14.25" customHeight="1" x14ac:dyDescent="0.35">
      <c r="L759" s="11"/>
      <c r="M759" s="11"/>
    </row>
    <row r="760" spans="12:13" ht="14.25" customHeight="1" x14ac:dyDescent="0.35">
      <c r="L760" s="11"/>
      <c r="M760" s="11"/>
    </row>
    <row r="761" spans="12:13" ht="14.25" customHeight="1" x14ac:dyDescent="0.35">
      <c r="L761" s="11"/>
      <c r="M761" s="11"/>
    </row>
    <row r="762" spans="12:13" ht="14.25" customHeight="1" x14ac:dyDescent="0.35">
      <c r="L762" s="11"/>
      <c r="M762" s="11"/>
    </row>
    <row r="763" spans="12:13" ht="14.25" customHeight="1" x14ac:dyDescent="0.35">
      <c r="L763" s="11"/>
      <c r="M763" s="11"/>
    </row>
    <row r="764" spans="12:13" ht="14.25" customHeight="1" x14ac:dyDescent="0.35">
      <c r="L764" s="11"/>
      <c r="M764" s="11"/>
    </row>
    <row r="765" spans="12:13" ht="14.25" customHeight="1" x14ac:dyDescent="0.35">
      <c r="L765" s="11"/>
      <c r="M765" s="11"/>
    </row>
    <row r="766" spans="12:13" ht="14.25" customHeight="1" x14ac:dyDescent="0.35">
      <c r="L766" s="11"/>
      <c r="M766" s="11"/>
    </row>
    <row r="767" spans="12:13" ht="14.25" customHeight="1" x14ac:dyDescent="0.35">
      <c r="L767" s="11"/>
      <c r="M767" s="11"/>
    </row>
    <row r="768" spans="12:13" ht="14.25" customHeight="1" x14ac:dyDescent="0.35">
      <c r="L768" s="11"/>
      <c r="M768" s="11"/>
    </row>
    <row r="769" spans="12:13" ht="14.25" customHeight="1" x14ac:dyDescent="0.35">
      <c r="L769" s="11"/>
      <c r="M769" s="11"/>
    </row>
    <row r="770" spans="12:13" ht="14.25" customHeight="1" x14ac:dyDescent="0.35">
      <c r="L770" s="11"/>
      <c r="M770" s="11"/>
    </row>
    <row r="771" spans="12:13" ht="14.25" customHeight="1" x14ac:dyDescent="0.35">
      <c r="L771" s="11"/>
      <c r="M771" s="11"/>
    </row>
    <row r="772" spans="12:13" ht="14.25" customHeight="1" x14ac:dyDescent="0.35">
      <c r="L772" s="11"/>
      <c r="M772" s="11"/>
    </row>
    <row r="773" spans="12:13" ht="14.25" customHeight="1" x14ac:dyDescent="0.35">
      <c r="L773" s="11"/>
      <c r="M773" s="11"/>
    </row>
    <row r="774" spans="12:13" ht="14.25" customHeight="1" x14ac:dyDescent="0.35">
      <c r="L774" s="11"/>
      <c r="M774" s="11"/>
    </row>
    <row r="775" spans="12:13" ht="14.25" customHeight="1" x14ac:dyDescent="0.35">
      <c r="L775" s="11"/>
      <c r="M775" s="11"/>
    </row>
    <row r="776" spans="12:13" ht="14.25" customHeight="1" x14ac:dyDescent="0.35">
      <c r="L776" s="11"/>
      <c r="M776" s="11"/>
    </row>
    <row r="777" spans="12:13" ht="14.25" customHeight="1" x14ac:dyDescent="0.35">
      <c r="L777" s="11"/>
      <c r="M777" s="11"/>
    </row>
    <row r="778" spans="12:13" ht="14.25" customHeight="1" x14ac:dyDescent="0.35">
      <c r="L778" s="11"/>
      <c r="M778" s="11"/>
    </row>
    <row r="779" spans="12:13" ht="14.25" customHeight="1" x14ac:dyDescent="0.35">
      <c r="L779" s="11"/>
      <c r="M779" s="11"/>
    </row>
    <row r="780" spans="12:13" ht="14.25" customHeight="1" x14ac:dyDescent="0.35">
      <c r="L780" s="11"/>
      <c r="M780" s="11"/>
    </row>
    <row r="781" spans="12:13" ht="14.25" customHeight="1" x14ac:dyDescent="0.35">
      <c r="L781" s="11"/>
      <c r="M781" s="11"/>
    </row>
    <row r="782" spans="12:13" ht="14.25" customHeight="1" x14ac:dyDescent="0.35">
      <c r="L782" s="11"/>
      <c r="M782" s="11"/>
    </row>
    <row r="783" spans="12:13" ht="14.25" customHeight="1" x14ac:dyDescent="0.35">
      <c r="L783" s="11"/>
      <c r="M783" s="11"/>
    </row>
    <row r="784" spans="12:13" ht="14.25" customHeight="1" x14ac:dyDescent="0.35">
      <c r="L784" s="11"/>
      <c r="M784" s="11"/>
    </row>
    <row r="785" spans="12:13" ht="14.25" customHeight="1" x14ac:dyDescent="0.35">
      <c r="L785" s="11"/>
      <c r="M785" s="11"/>
    </row>
    <row r="786" spans="12:13" ht="14.25" customHeight="1" x14ac:dyDescent="0.35">
      <c r="L786" s="11"/>
      <c r="M786" s="11"/>
    </row>
    <row r="787" spans="12:13" ht="14.25" customHeight="1" x14ac:dyDescent="0.35">
      <c r="L787" s="11"/>
      <c r="M787" s="11"/>
    </row>
    <row r="788" spans="12:13" ht="14.25" customHeight="1" x14ac:dyDescent="0.35">
      <c r="L788" s="11"/>
      <c r="M788" s="11"/>
    </row>
    <row r="789" spans="12:13" ht="14.25" customHeight="1" x14ac:dyDescent="0.35">
      <c r="L789" s="11"/>
      <c r="M789" s="11"/>
    </row>
    <row r="790" spans="12:13" ht="14.25" customHeight="1" x14ac:dyDescent="0.35">
      <c r="L790" s="11"/>
      <c r="M790" s="11"/>
    </row>
    <row r="791" spans="12:13" ht="14.25" customHeight="1" x14ac:dyDescent="0.35">
      <c r="L791" s="11"/>
      <c r="M791" s="11"/>
    </row>
    <row r="792" spans="12:13" ht="14.25" customHeight="1" x14ac:dyDescent="0.35">
      <c r="L792" s="11"/>
      <c r="M792" s="11"/>
    </row>
    <row r="793" spans="12:13" ht="14.25" customHeight="1" x14ac:dyDescent="0.35">
      <c r="L793" s="11"/>
      <c r="M793" s="11"/>
    </row>
    <row r="794" spans="12:13" ht="14.25" customHeight="1" x14ac:dyDescent="0.35">
      <c r="L794" s="11"/>
      <c r="M794" s="11"/>
    </row>
    <row r="795" spans="12:13" ht="14.25" customHeight="1" x14ac:dyDescent="0.35">
      <c r="L795" s="11"/>
      <c r="M795" s="11"/>
    </row>
    <row r="796" spans="12:13" ht="14.25" customHeight="1" x14ac:dyDescent="0.35">
      <c r="L796" s="11"/>
      <c r="M796" s="11"/>
    </row>
    <row r="797" spans="12:13" ht="14.25" customHeight="1" x14ac:dyDescent="0.35">
      <c r="L797" s="11"/>
      <c r="M797" s="11"/>
    </row>
    <row r="798" spans="12:13" ht="14.25" customHeight="1" x14ac:dyDescent="0.35">
      <c r="L798" s="11"/>
      <c r="M798" s="11"/>
    </row>
    <row r="799" spans="12:13" ht="14.25" customHeight="1" x14ac:dyDescent="0.35">
      <c r="L799" s="11"/>
      <c r="M799" s="11"/>
    </row>
    <row r="800" spans="12:13" ht="14.25" customHeight="1" x14ac:dyDescent="0.35">
      <c r="L800" s="11"/>
      <c r="M800" s="11"/>
    </row>
    <row r="801" spans="12:13" ht="14.25" customHeight="1" x14ac:dyDescent="0.35">
      <c r="L801" s="11"/>
      <c r="M801" s="11"/>
    </row>
    <row r="802" spans="12:13" ht="14.25" customHeight="1" x14ac:dyDescent="0.35">
      <c r="L802" s="11"/>
      <c r="M802" s="11"/>
    </row>
    <row r="803" spans="12:13" ht="14.25" customHeight="1" x14ac:dyDescent="0.35">
      <c r="L803" s="11"/>
      <c r="M803" s="11"/>
    </row>
    <row r="804" spans="12:13" ht="14.25" customHeight="1" x14ac:dyDescent="0.35">
      <c r="L804" s="11"/>
      <c r="M804" s="11"/>
    </row>
    <row r="805" spans="12:13" ht="14.25" customHeight="1" x14ac:dyDescent="0.35">
      <c r="L805" s="11"/>
      <c r="M805" s="11"/>
    </row>
    <row r="806" spans="12:13" ht="14.25" customHeight="1" x14ac:dyDescent="0.35">
      <c r="L806" s="11"/>
      <c r="M806" s="11"/>
    </row>
    <row r="807" spans="12:13" ht="14.25" customHeight="1" x14ac:dyDescent="0.35">
      <c r="L807" s="11"/>
      <c r="M807" s="11"/>
    </row>
    <row r="808" spans="12:13" ht="14.25" customHeight="1" x14ac:dyDescent="0.35">
      <c r="L808" s="11"/>
      <c r="M808" s="11"/>
    </row>
    <row r="809" spans="12:13" ht="14.25" customHeight="1" x14ac:dyDescent="0.35">
      <c r="L809" s="11"/>
      <c r="M809" s="11"/>
    </row>
    <row r="810" spans="12:13" ht="14.25" customHeight="1" x14ac:dyDescent="0.35">
      <c r="L810" s="11"/>
      <c r="M810" s="11"/>
    </row>
    <row r="811" spans="12:13" ht="14.25" customHeight="1" x14ac:dyDescent="0.35">
      <c r="L811" s="11"/>
      <c r="M811" s="11"/>
    </row>
    <row r="812" spans="12:13" ht="14.25" customHeight="1" x14ac:dyDescent="0.35">
      <c r="L812" s="11"/>
      <c r="M812" s="11"/>
    </row>
    <row r="813" spans="12:13" ht="14.25" customHeight="1" x14ac:dyDescent="0.35">
      <c r="L813" s="11"/>
      <c r="M813" s="11"/>
    </row>
    <row r="814" spans="12:13" ht="14.25" customHeight="1" x14ac:dyDescent="0.35">
      <c r="L814" s="11"/>
      <c r="M814" s="11"/>
    </row>
    <row r="815" spans="12:13" ht="14.25" customHeight="1" x14ac:dyDescent="0.35">
      <c r="L815" s="11"/>
      <c r="M815" s="11"/>
    </row>
    <row r="816" spans="12:13" ht="14.25" customHeight="1" x14ac:dyDescent="0.35">
      <c r="L816" s="11"/>
      <c r="M816" s="11"/>
    </row>
    <row r="817" spans="12:13" ht="14.25" customHeight="1" x14ac:dyDescent="0.35">
      <c r="L817" s="11"/>
      <c r="M817" s="11"/>
    </row>
    <row r="818" spans="12:13" ht="14.25" customHeight="1" x14ac:dyDescent="0.35">
      <c r="L818" s="11"/>
      <c r="M818" s="11"/>
    </row>
    <row r="819" spans="12:13" ht="14.25" customHeight="1" x14ac:dyDescent="0.35">
      <c r="L819" s="11"/>
      <c r="M819" s="11"/>
    </row>
    <row r="820" spans="12:13" ht="14.25" customHeight="1" x14ac:dyDescent="0.35">
      <c r="L820" s="11"/>
      <c r="M820" s="11"/>
    </row>
    <row r="821" spans="12:13" ht="14.25" customHeight="1" x14ac:dyDescent="0.35">
      <c r="L821" s="11"/>
      <c r="M821" s="11"/>
    </row>
    <row r="822" spans="12:13" ht="14.25" customHeight="1" x14ac:dyDescent="0.35">
      <c r="L822" s="11"/>
      <c r="M822" s="11"/>
    </row>
    <row r="823" spans="12:13" ht="14.25" customHeight="1" x14ac:dyDescent="0.35">
      <c r="L823" s="11"/>
      <c r="M823" s="11"/>
    </row>
    <row r="824" spans="12:13" ht="14.25" customHeight="1" x14ac:dyDescent="0.35">
      <c r="L824" s="11"/>
      <c r="M824" s="11"/>
    </row>
    <row r="825" spans="12:13" ht="14.25" customHeight="1" x14ac:dyDescent="0.35">
      <c r="L825" s="11"/>
      <c r="M825" s="11"/>
    </row>
    <row r="826" spans="12:13" ht="14.25" customHeight="1" x14ac:dyDescent="0.35">
      <c r="L826" s="11"/>
      <c r="M826" s="11"/>
    </row>
    <row r="827" spans="12:13" ht="14.25" customHeight="1" x14ac:dyDescent="0.35">
      <c r="L827" s="11"/>
      <c r="M827" s="11"/>
    </row>
    <row r="828" spans="12:13" ht="14.25" customHeight="1" x14ac:dyDescent="0.35">
      <c r="L828" s="11"/>
      <c r="M828" s="11"/>
    </row>
    <row r="829" spans="12:13" ht="14.25" customHeight="1" x14ac:dyDescent="0.35">
      <c r="L829" s="11"/>
      <c r="M829" s="11"/>
    </row>
    <row r="830" spans="12:13" ht="14.25" customHeight="1" x14ac:dyDescent="0.35">
      <c r="L830" s="11"/>
      <c r="M830" s="11"/>
    </row>
    <row r="831" spans="12:13" ht="14.25" customHeight="1" x14ac:dyDescent="0.35">
      <c r="L831" s="11"/>
      <c r="M831" s="11"/>
    </row>
    <row r="832" spans="12:13" ht="14.25" customHeight="1" x14ac:dyDescent="0.35">
      <c r="L832" s="11"/>
      <c r="M832" s="11"/>
    </row>
    <row r="833" spans="12:13" ht="14.25" customHeight="1" x14ac:dyDescent="0.35">
      <c r="L833" s="11"/>
      <c r="M833" s="11"/>
    </row>
    <row r="834" spans="12:13" ht="14.25" customHeight="1" x14ac:dyDescent="0.35">
      <c r="L834" s="11"/>
      <c r="M834" s="11"/>
    </row>
    <row r="835" spans="12:13" ht="14.25" customHeight="1" x14ac:dyDescent="0.35">
      <c r="L835" s="11"/>
      <c r="M835" s="11"/>
    </row>
    <row r="836" spans="12:13" ht="14.25" customHeight="1" x14ac:dyDescent="0.35">
      <c r="L836" s="11"/>
      <c r="M836" s="11"/>
    </row>
    <row r="837" spans="12:13" ht="14.25" customHeight="1" x14ac:dyDescent="0.35">
      <c r="L837" s="11"/>
      <c r="M837" s="11"/>
    </row>
    <row r="838" spans="12:13" ht="14.25" customHeight="1" x14ac:dyDescent="0.35">
      <c r="L838" s="11"/>
      <c r="M838" s="11"/>
    </row>
    <row r="839" spans="12:13" ht="14.25" customHeight="1" x14ac:dyDescent="0.35">
      <c r="L839" s="11"/>
      <c r="M839" s="11"/>
    </row>
    <row r="840" spans="12:13" ht="14.25" customHeight="1" x14ac:dyDescent="0.35">
      <c r="L840" s="11"/>
      <c r="M840" s="11"/>
    </row>
    <row r="841" spans="12:13" ht="14.25" customHeight="1" x14ac:dyDescent="0.35">
      <c r="L841" s="11"/>
      <c r="M841" s="11"/>
    </row>
    <row r="842" spans="12:13" ht="14.25" customHeight="1" x14ac:dyDescent="0.35">
      <c r="L842" s="11"/>
      <c r="M842" s="11"/>
    </row>
    <row r="843" spans="12:13" ht="14.25" customHeight="1" x14ac:dyDescent="0.35">
      <c r="L843" s="11"/>
      <c r="M843" s="11"/>
    </row>
    <row r="844" spans="12:13" ht="14.25" customHeight="1" x14ac:dyDescent="0.35">
      <c r="L844" s="11"/>
      <c r="M844" s="11"/>
    </row>
    <row r="845" spans="12:13" ht="14.25" customHeight="1" x14ac:dyDescent="0.35">
      <c r="L845" s="11"/>
      <c r="M845" s="11"/>
    </row>
    <row r="846" spans="12:13" ht="14.25" customHeight="1" x14ac:dyDescent="0.35">
      <c r="L846" s="11"/>
      <c r="M846" s="11"/>
    </row>
    <row r="847" spans="12:13" ht="14.25" customHeight="1" x14ac:dyDescent="0.35">
      <c r="L847" s="11"/>
      <c r="M847" s="11"/>
    </row>
    <row r="848" spans="12:13" ht="14.25" customHeight="1" x14ac:dyDescent="0.35">
      <c r="L848" s="11"/>
      <c r="M848" s="11"/>
    </row>
    <row r="849" spans="12:13" ht="14.25" customHeight="1" x14ac:dyDescent="0.35">
      <c r="L849" s="11"/>
      <c r="M849" s="11"/>
    </row>
    <row r="850" spans="12:13" ht="14.25" customHeight="1" x14ac:dyDescent="0.35">
      <c r="L850" s="11"/>
      <c r="M850" s="11"/>
    </row>
    <row r="851" spans="12:13" ht="14.25" customHeight="1" x14ac:dyDescent="0.35">
      <c r="L851" s="11"/>
      <c r="M851" s="11"/>
    </row>
    <row r="852" spans="12:13" ht="14.25" customHeight="1" x14ac:dyDescent="0.35">
      <c r="L852" s="11"/>
      <c r="M852" s="11"/>
    </row>
    <row r="853" spans="12:13" ht="14.25" customHeight="1" x14ac:dyDescent="0.35">
      <c r="L853" s="11"/>
      <c r="M853" s="11"/>
    </row>
    <row r="854" spans="12:13" ht="14.25" customHeight="1" x14ac:dyDescent="0.35">
      <c r="L854" s="11"/>
      <c r="M854" s="11"/>
    </row>
    <row r="855" spans="12:13" ht="14.25" customHeight="1" x14ac:dyDescent="0.35">
      <c r="L855" s="11"/>
      <c r="M855" s="11"/>
    </row>
    <row r="856" spans="12:13" ht="14.25" customHeight="1" x14ac:dyDescent="0.35">
      <c r="L856" s="11"/>
      <c r="M856" s="11"/>
    </row>
    <row r="857" spans="12:13" ht="14.25" customHeight="1" x14ac:dyDescent="0.35">
      <c r="L857" s="11"/>
      <c r="M857" s="11"/>
    </row>
    <row r="858" spans="12:13" ht="14.25" customHeight="1" x14ac:dyDescent="0.35">
      <c r="L858" s="11"/>
      <c r="M858" s="11"/>
    </row>
    <row r="859" spans="12:13" ht="14.25" customHeight="1" x14ac:dyDescent="0.35">
      <c r="L859" s="11"/>
      <c r="M859" s="11"/>
    </row>
    <row r="860" spans="12:13" ht="14.25" customHeight="1" x14ac:dyDescent="0.35">
      <c r="L860" s="11"/>
      <c r="M860" s="11"/>
    </row>
    <row r="861" spans="12:13" ht="14.25" customHeight="1" x14ac:dyDescent="0.35">
      <c r="L861" s="11"/>
      <c r="M861" s="11"/>
    </row>
    <row r="862" spans="12:13" ht="14.25" customHeight="1" x14ac:dyDescent="0.35">
      <c r="L862" s="11"/>
      <c r="M862" s="11"/>
    </row>
    <row r="863" spans="12:13" ht="14.25" customHeight="1" x14ac:dyDescent="0.35">
      <c r="L863" s="11"/>
      <c r="M863" s="11"/>
    </row>
    <row r="864" spans="12:13" ht="14.25" customHeight="1" x14ac:dyDescent="0.35">
      <c r="L864" s="11"/>
      <c r="M864" s="11"/>
    </row>
    <row r="865" spans="12:13" ht="14.25" customHeight="1" x14ac:dyDescent="0.35">
      <c r="L865" s="11"/>
      <c r="M865" s="11"/>
    </row>
    <row r="866" spans="12:13" ht="14.25" customHeight="1" x14ac:dyDescent="0.35">
      <c r="L866" s="11"/>
      <c r="M866" s="11"/>
    </row>
    <row r="867" spans="12:13" ht="14.25" customHeight="1" x14ac:dyDescent="0.35">
      <c r="L867" s="11"/>
      <c r="M867" s="11"/>
    </row>
    <row r="868" spans="12:13" ht="14.25" customHeight="1" x14ac:dyDescent="0.35">
      <c r="L868" s="11"/>
      <c r="M868" s="11"/>
    </row>
    <row r="869" spans="12:13" ht="14.25" customHeight="1" x14ac:dyDescent="0.35">
      <c r="L869" s="11"/>
      <c r="M869" s="11"/>
    </row>
    <row r="870" spans="12:13" ht="14.25" customHeight="1" x14ac:dyDescent="0.35">
      <c r="L870" s="11"/>
      <c r="M870" s="11"/>
    </row>
    <row r="871" spans="12:13" ht="14.25" customHeight="1" x14ac:dyDescent="0.35">
      <c r="L871" s="11"/>
      <c r="M871" s="11"/>
    </row>
    <row r="872" spans="12:13" ht="14.25" customHeight="1" x14ac:dyDescent="0.35">
      <c r="L872" s="11"/>
      <c r="M872" s="11"/>
    </row>
    <row r="873" spans="12:13" ht="14.25" customHeight="1" x14ac:dyDescent="0.35">
      <c r="L873" s="11"/>
      <c r="M873" s="11"/>
    </row>
    <row r="874" spans="12:13" ht="14.25" customHeight="1" x14ac:dyDescent="0.35">
      <c r="L874" s="11"/>
      <c r="M874" s="11"/>
    </row>
    <row r="875" spans="12:13" ht="14.25" customHeight="1" x14ac:dyDescent="0.35">
      <c r="L875" s="11"/>
      <c r="M875" s="11"/>
    </row>
    <row r="876" spans="12:13" ht="14.25" customHeight="1" x14ac:dyDescent="0.35">
      <c r="L876" s="11"/>
      <c r="M876" s="11"/>
    </row>
    <row r="877" spans="12:13" ht="14.25" customHeight="1" x14ac:dyDescent="0.35">
      <c r="L877" s="11"/>
      <c r="M877" s="11"/>
    </row>
    <row r="878" spans="12:13" ht="14.25" customHeight="1" x14ac:dyDescent="0.35">
      <c r="L878" s="11"/>
      <c r="M878" s="11"/>
    </row>
    <row r="879" spans="12:13" ht="14.25" customHeight="1" x14ac:dyDescent="0.35">
      <c r="L879" s="11"/>
      <c r="M879" s="11"/>
    </row>
    <row r="880" spans="12:13" ht="14.25" customHeight="1" x14ac:dyDescent="0.35">
      <c r="L880" s="11"/>
      <c r="M880" s="11"/>
    </row>
    <row r="881" spans="12:13" ht="14.25" customHeight="1" x14ac:dyDescent="0.35">
      <c r="L881" s="11"/>
      <c r="M881" s="11"/>
    </row>
    <row r="882" spans="12:13" ht="14.25" customHeight="1" x14ac:dyDescent="0.35">
      <c r="L882" s="11"/>
      <c r="M882" s="11"/>
    </row>
    <row r="883" spans="12:13" ht="14.25" customHeight="1" x14ac:dyDescent="0.35">
      <c r="L883" s="11"/>
      <c r="M883" s="11"/>
    </row>
    <row r="884" spans="12:13" ht="14.25" customHeight="1" x14ac:dyDescent="0.35">
      <c r="L884" s="11"/>
      <c r="M884" s="11"/>
    </row>
    <row r="885" spans="12:13" ht="14.25" customHeight="1" x14ac:dyDescent="0.35">
      <c r="L885" s="11"/>
      <c r="M885" s="11"/>
    </row>
    <row r="886" spans="12:13" ht="14.25" customHeight="1" x14ac:dyDescent="0.35">
      <c r="L886" s="11"/>
      <c r="M886" s="11"/>
    </row>
    <row r="887" spans="12:13" ht="14.25" customHeight="1" x14ac:dyDescent="0.35">
      <c r="L887" s="11"/>
      <c r="M887" s="11"/>
    </row>
    <row r="888" spans="12:13" ht="14.25" customHeight="1" x14ac:dyDescent="0.35">
      <c r="L888" s="11"/>
      <c r="M888" s="11"/>
    </row>
    <row r="889" spans="12:13" ht="14.25" customHeight="1" x14ac:dyDescent="0.35">
      <c r="L889" s="11"/>
      <c r="M889" s="11"/>
    </row>
    <row r="890" spans="12:13" ht="14.25" customHeight="1" x14ac:dyDescent="0.35">
      <c r="L890" s="11"/>
      <c r="M890" s="11"/>
    </row>
    <row r="891" spans="12:13" ht="14.25" customHeight="1" x14ac:dyDescent="0.35">
      <c r="L891" s="11"/>
      <c r="M891" s="11"/>
    </row>
    <row r="892" spans="12:13" ht="14.25" customHeight="1" x14ac:dyDescent="0.35">
      <c r="L892" s="11"/>
      <c r="M892" s="11"/>
    </row>
    <row r="893" spans="12:13" ht="14.25" customHeight="1" x14ac:dyDescent="0.35">
      <c r="L893" s="11"/>
      <c r="M893" s="11"/>
    </row>
    <row r="894" spans="12:13" ht="14.25" customHeight="1" x14ac:dyDescent="0.35">
      <c r="L894" s="11"/>
      <c r="M894" s="11"/>
    </row>
    <row r="895" spans="12:13" ht="14.25" customHeight="1" x14ac:dyDescent="0.35">
      <c r="L895" s="11"/>
      <c r="M895" s="11"/>
    </row>
    <row r="896" spans="12:13" ht="14.25" customHeight="1" x14ac:dyDescent="0.35">
      <c r="L896" s="11"/>
      <c r="M896" s="11"/>
    </row>
    <row r="897" spans="12:13" ht="14.25" customHeight="1" x14ac:dyDescent="0.35">
      <c r="L897" s="11"/>
      <c r="M897" s="11"/>
    </row>
    <row r="898" spans="12:13" ht="14.25" customHeight="1" x14ac:dyDescent="0.35">
      <c r="L898" s="11"/>
      <c r="M898" s="11"/>
    </row>
    <row r="899" spans="12:13" ht="14.25" customHeight="1" x14ac:dyDescent="0.35">
      <c r="L899" s="11"/>
      <c r="M899" s="11"/>
    </row>
    <row r="900" spans="12:13" ht="14.25" customHeight="1" x14ac:dyDescent="0.35">
      <c r="L900" s="11"/>
      <c r="M900" s="11"/>
    </row>
    <row r="901" spans="12:13" ht="14.25" customHeight="1" x14ac:dyDescent="0.35">
      <c r="L901" s="11"/>
      <c r="M901" s="11"/>
    </row>
    <row r="902" spans="12:13" ht="14.25" customHeight="1" x14ac:dyDescent="0.35">
      <c r="L902" s="11"/>
      <c r="M902" s="11"/>
    </row>
    <row r="903" spans="12:13" ht="14.25" customHeight="1" x14ac:dyDescent="0.35">
      <c r="L903" s="11"/>
      <c r="M903" s="11"/>
    </row>
    <row r="904" spans="12:13" ht="14.25" customHeight="1" x14ac:dyDescent="0.35">
      <c r="L904" s="11"/>
      <c r="M904" s="11"/>
    </row>
    <row r="905" spans="12:13" ht="14.25" customHeight="1" x14ac:dyDescent="0.35">
      <c r="L905" s="11"/>
      <c r="M905" s="11"/>
    </row>
    <row r="906" spans="12:13" ht="14.25" customHeight="1" x14ac:dyDescent="0.35">
      <c r="L906" s="11"/>
      <c r="M906" s="11"/>
    </row>
    <row r="907" spans="12:13" ht="14.25" customHeight="1" x14ac:dyDescent="0.35">
      <c r="L907" s="11"/>
      <c r="M907" s="11"/>
    </row>
    <row r="908" spans="12:13" ht="14.25" customHeight="1" x14ac:dyDescent="0.35">
      <c r="L908" s="11"/>
      <c r="M908" s="11"/>
    </row>
    <row r="909" spans="12:13" ht="14.25" customHeight="1" x14ac:dyDescent="0.35">
      <c r="L909" s="11"/>
      <c r="M909" s="11"/>
    </row>
    <row r="910" spans="12:13" ht="14.25" customHeight="1" x14ac:dyDescent="0.35">
      <c r="L910" s="11"/>
      <c r="M910" s="11"/>
    </row>
    <row r="911" spans="12:13" ht="14.25" customHeight="1" x14ac:dyDescent="0.35">
      <c r="L911" s="11"/>
      <c r="M911" s="11"/>
    </row>
    <row r="912" spans="12:13" ht="14.25" customHeight="1" x14ac:dyDescent="0.35">
      <c r="L912" s="11"/>
      <c r="M912" s="11"/>
    </row>
    <row r="913" spans="12:13" ht="14.25" customHeight="1" x14ac:dyDescent="0.35">
      <c r="L913" s="11"/>
      <c r="M913" s="11"/>
    </row>
    <row r="914" spans="12:13" ht="14.25" customHeight="1" x14ac:dyDescent="0.35">
      <c r="L914" s="11"/>
      <c r="M914" s="11"/>
    </row>
    <row r="915" spans="12:13" ht="14.25" customHeight="1" x14ac:dyDescent="0.35">
      <c r="L915" s="11"/>
      <c r="M915" s="11"/>
    </row>
    <row r="916" spans="12:13" ht="14.25" customHeight="1" x14ac:dyDescent="0.35">
      <c r="L916" s="11"/>
      <c r="M916" s="11"/>
    </row>
    <row r="917" spans="12:13" ht="14.25" customHeight="1" x14ac:dyDescent="0.35">
      <c r="L917" s="11"/>
      <c r="M917" s="11"/>
    </row>
    <row r="918" spans="12:13" ht="14.25" customHeight="1" x14ac:dyDescent="0.35">
      <c r="L918" s="11"/>
      <c r="M918" s="11"/>
    </row>
    <row r="919" spans="12:13" ht="14.25" customHeight="1" x14ac:dyDescent="0.35">
      <c r="L919" s="11"/>
      <c r="M919" s="11"/>
    </row>
    <row r="920" spans="12:13" ht="14.25" customHeight="1" x14ac:dyDescent="0.35">
      <c r="L920" s="11"/>
      <c r="M920" s="11"/>
    </row>
    <row r="921" spans="12:13" ht="14.25" customHeight="1" x14ac:dyDescent="0.35">
      <c r="L921" s="11"/>
      <c r="M921" s="11"/>
    </row>
    <row r="922" spans="12:13" ht="14.25" customHeight="1" x14ac:dyDescent="0.35">
      <c r="L922" s="11"/>
      <c r="M922" s="11"/>
    </row>
    <row r="923" spans="12:13" ht="14.25" customHeight="1" x14ac:dyDescent="0.35">
      <c r="L923" s="11"/>
      <c r="M923" s="11"/>
    </row>
    <row r="924" spans="12:13" ht="14.25" customHeight="1" x14ac:dyDescent="0.35">
      <c r="L924" s="11"/>
      <c r="M924" s="11"/>
    </row>
    <row r="925" spans="12:13" ht="14.25" customHeight="1" x14ac:dyDescent="0.35">
      <c r="L925" s="11"/>
      <c r="M925" s="11"/>
    </row>
    <row r="926" spans="12:13" ht="14.25" customHeight="1" x14ac:dyDescent="0.35">
      <c r="L926" s="11"/>
      <c r="M926" s="11"/>
    </row>
    <row r="927" spans="12:13" ht="14.25" customHeight="1" x14ac:dyDescent="0.35">
      <c r="L927" s="11"/>
      <c r="M927" s="11"/>
    </row>
    <row r="928" spans="12:13" ht="14.25" customHeight="1" x14ac:dyDescent="0.35">
      <c r="L928" s="11"/>
      <c r="M928" s="11"/>
    </row>
    <row r="929" spans="12:13" ht="14.25" customHeight="1" x14ac:dyDescent="0.35">
      <c r="L929" s="11"/>
      <c r="M929" s="11"/>
    </row>
    <row r="930" spans="12:13" ht="14.25" customHeight="1" x14ac:dyDescent="0.35">
      <c r="L930" s="11"/>
      <c r="M930" s="11"/>
    </row>
    <row r="931" spans="12:13" ht="14.25" customHeight="1" x14ac:dyDescent="0.35">
      <c r="L931" s="11"/>
      <c r="M931" s="11"/>
    </row>
    <row r="932" spans="12:13" ht="14.25" customHeight="1" x14ac:dyDescent="0.35">
      <c r="L932" s="11"/>
      <c r="M932" s="11"/>
    </row>
    <row r="933" spans="12:13" ht="14.25" customHeight="1" x14ac:dyDescent="0.35">
      <c r="L933" s="11"/>
      <c r="M933" s="11"/>
    </row>
    <row r="934" spans="12:13" ht="14.25" customHeight="1" x14ac:dyDescent="0.35">
      <c r="L934" s="11"/>
      <c r="M934" s="11"/>
    </row>
    <row r="935" spans="12:13" ht="14.25" customHeight="1" x14ac:dyDescent="0.35">
      <c r="L935" s="11"/>
      <c r="M935" s="11"/>
    </row>
    <row r="936" spans="12:13" ht="14.25" customHeight="1" x14ac:dyDescent="0.35">
      <c r="L936" s="11"/>
      <c r="M936" s="11"/>
    </row>
    <row r="937" spans="12:13" ht="14.25" customHeight="1" x14ac:dyDescent="0.35">
      <c r="L937" s="11"/>
      <c r="M937" s="11"/>
    </row>
    <row r="938" spans="12:13" ht="14.25" customHeight="1" x14ac:dyDescent="0.35">
      <c r="L938" s="11"/>
      <c r="M938" s="11"/>
    </row>
    <row r="939" spans="12:13" ht="14.25" customHeight="1" x14ac:dyDescent="0.35">
      <c r="L939" s="11"/>
      <c r="M939" s="11"/>
    </row>
    <row r="940" spans="12:13" ht="14.25" customHeight="1" x14ac:dyDescent="0.35">
      <c r="L940" s="11"/>
      <c r="M940" s="11"/>
    </row>
    <row r="941" spans="12:13" ht="14.25" customHeight="1" x14ac:dyDescent="0.35">
      <c r="L941" s="11"/>
      <c r="M941" s="11"/>
    </row>
    <row r="942" spans="12:13" ht="14.25" customHeight="1" x14ac:dyDescent="0.35">
      <c r="L942" s="11"/>
      <c r="M942" s="11"/>
    </row>
    <row r="943" spans="12:13" ht="14.25" customHeight="1" x14ac:dyDescent="0.35">
      <c r="L943" s="11"/>
      <c r="M943" s="11"/>
    </row>
    <row r="944" spans="12:13" ht="14.25" customHeight="1" x14ac:dyDescent="0.35">
      <c r="L944" s="11"/>
      <c r="M944" s="11"/>
    </row>
    <row r="945" spans="12:13" ht="14.25" customHeight="1" x14ac:dyDescent="0.35">
      <c r="L945" s="11"/>
      <c r="M945" s="11"/>
    </row>
    <row r="946" spans="12:13" ht="14.25" customHeight="1" x14ac:dyDescent="0.35">
      <c r="L946" s="11"/>
      <c r="M946" s="11"/>
    </row>
    <row r="947" spans="12:13" ht="14.25" customHeight="1" x14ac:dyDescent="0.35">
      <c r="L947" s="11"/>
      <c r="M947" s="11"/>
    </row>
    <row r="948" spans="12:13" ht="14.25" customHeight="1" x14ac:dyDescent="0.35">
      <c r="L948" s="11"/>
      <c r="M948" s="11"/>
    </row>
    <row r="949" spans="12:13" ht="14.25" customHeight="1" x14ac:dyDescent="0.35">
      <c r="L949" s="11"/>
      <c r="M949" s="11"/>
    </row>
    <row r="950" spans="12:13" ht="14.25" customHeight="1" x14ac:dyDescent="0.35">
      <c r="L950" s="11"/>
      <c r="M950" s="11"/>
    </row>
    <row r="951" spans="12:13" ht="14.25" customHeight="1" x14ac:dyDescent="0.35">
      <c r="L951" s="11"/>
      <c r="M951" s="11"/>
    </row>
    <row r="952" spans="12:13" ht="14.25" customHeight="1" x14ac:dyDescent="0.35">
      <c r="L952" s="11"/>
      <c r="M952" s="11"/>
    </row>
    <row r="953" spans="12:13" ht="14.25" customHeight="1" x14ac:dyDescent="0.35">
      <c r="L953" s="11"/>
      <c r="M953" s="11"/>
    </row>
    <row r="954" spans="12:13" ht="14.25" customHeight="1" x14ac:dyDescent="0.35">
      <c r="L954" s="11"/>
      <c r="M954" s="11"/>
    </row>
    <row r="955" spans="12:13" ht="14.25" customHeight="1" x14ac:dyDescent="0.35">
      <c r="L955" s="11"/>
      <c r="M955" s="11"/>
    </row>
    <row r="956" spans="12:13" ht="14.25" customHeight="1" x14ac:dyDescent="0.35">
      <c r="L956" s="11"/>
      <c r="M956" s="11"/>
    </row>
    <row r="957" spans="12:13" ht="14.25" customHeight="1" x14ac:dyDescent="0.35">
      <c r="L957" s="11"/>
      <c r="M957" s="11"/>
    </row>
    <row r="958" spans="12:13" ht="14.25" customHeight="1" x14ac:dyDescent="0.35">
      <c r="L958" s="11"/>
      <c r="M958" s="11"/>
    </row>
    <row r="959" spans="12:13" ht="14.25" customHeight="1" x14ac:dyDescent="0.35">
      <c r="L959" s="11"/>
      <c r="M959" s="11"/>
    </row>
    <row r="960" spans="12:13" ht="14.25" customHeight="1" x14ac:dyDescent="0.35">
      <c r="L960" s="11"/>
      <c r="M960" s="11"/>
    </row>
    <row r="961" spans="12:13" ht="14.25" customHeight="1" x14ac:dyDescent="0.35">
      <c r="L961" s="11"/>
      <c r="M961" s="11"/>
    </row>
    <row r="962" spans="12:13" ht="14.25" customHeight="1" x14ac:dyDescent="0.35">
      <c r="L962" s="11"/>
      <c r="M962" s="11"/>
    </row>
    <row r="963" spans="12:13" ht="14.25" customHeight="1" x14ac:dyDescent="0.35">
      <c r="L963" s="11"/>
      <c r="M963" s="11"/>
    </row>
    <row r="964" spans="12:13" ht="14.25" customHeight="1" x14ac:dyDescent="0.35">
      <c r="L964" s="11"/>
      <c r="M964" s="11"/>
    </row>
    <row r="965" spans="12:13" ht="14.25" customHeight="1" x14ac:dyDescent="0.35">
      <c r="L965" s="11"/>
      <c r="M965" s="11"/>
    </row>
    <row r="966" spans="12:13" ht="14.25" customHeight="1" x14ac:dyDescent="0.35">
      <c r="L966" s="11"/>
      <c r="M966" s="11"/>
    </row>
    <row r="967" spans="12:13" ht="14.25" customHeight="1" x14ac:dyDescent="0.35">
      <c r="L967" s="11"/>
      <c r="M967" s="11"/>
    </row>
    <row r="968" spans="12:13" ht="14.25" customHeight="1" x14ac:dyDescent="0.35">
      <c r="L968" s="11"/>
      <c r="M968" s="11"/>
    </row>
    <row r="969" spans="12:13" ht="14.25" customHeight="1" x14ac:dyDescent="0.35">
      <c r="L969" s="11"/>
      <c r="M969" s="11"/>
    </row>
    <row r="970" spans="12:13" ht="14.25" customHeight="1" x14ac:dyDescent="0.35">
      <c r="L970" s="11"/>
      <c r="M970" s="11"/>
    </row>
    <row r="971" spans="12:13" ht="14.25" customHeight="1" x14ac:dyDescent="0.35">
      <c r="L971" s="11"/>
      <c r="M971" s="11"/>
    </row>
    <row r="972" spans="12:13" ht="14.25" customHeight="1" x14ac:dyDescent="0.35">
      <c r="L972" s="11"/>
      <c r="M972" s="11"/>
    </row>
    <row r="973" spans="12:13" ht="14.25" customHeight="1" x14ac:dyDescent="0.35">
      <c r="L973" s="11"/>
      <c r="M973" s="11"/>
    </row>
    <row r="974" spans="12:13" ht="14.25" customHeight="1" x14ac:dyDescent="0.35">
      <c r="L974" s="11"/>
      <c r="M974" s="11"/>
    </row>
    <row r="975" spans="12:13" ht="14.25" customHeight="1" x14ac:dyDescent="0.35">
      <c r="L975" s="11"/>
      <c r="M975" s="11"/>
    </row>
    <row r="976" spans="12:13" ht="14.25" customHeight="1" x14ac:dyDescent="0.35">
      <c r="L976" s="11"/>
      <c r="M976" s="11"/>
    </row>
    <row r="977" spans="12:13" ht="14.25" customHeight="1" x14ac:dyDescent="0.35">
      <c r="L977" s="11"/>
      <c r="M977" s="11"/>
    </row>
    <row r="978" spans="12:13" ht="14.25" customHeight="1" x14ac:dyDescent="0.35">
      <c r="L978" s="11"/>
      <c r="M978" s="11"/>
    </row>
    <row r="979" spans="12:13" ht="14.25" customHeight="1" x14ac:dyDescent="0.35">
      <c r="L979" s="11"/>
      <c r="M979" s="11"/>
    </row>
    <row r="980" spans="12:13" ht="14.25" customHeight="1" x14ac:dyDescent="0.35">
      <c r="L980" s="11"/>
      <c r="M980" s="11"/>
    </row>
    <row r="981" spans="12:13" ht="14.25" customHeight="1" x14ac:dyDescent="0.35">
      <c r="L981" s="11"/>
      <c r="M981" s="11"/>
    </row>
    <row r="982" spans="12:13" ht="14.25" customHeight="1" x14ac:dyDescent="0.35">
      <c r="L982" s="11"/>
      <c r="M982" s="11"/>
    </row>
    <row r="983" spans="12:13" ht="14.25" customHeight="1" x14ac:dyDescent="0.35">
      <c r="L983" s="11"/>
      <c r="M983" s="11"/>
    </row>
    <row r="984" spans="12:13" ht="14.25" customHeight="1" x14ac:dyDescent="0.35">
      <c r="L984" s="11"/>
      <c r="M984" s="11"/>
    </row>
    <row r="985" spans="12:13" ht="14.25" customHeight="1" x14ac:dyDescent="0.35">
      <c r="L985" s="11"/>
      <c r="M985" s="11"/>
    </row>
    <row r="986" spans="12:13" ht="14.25" customHeight="1" x14ac:dyDescent="0.35">
      <c r="L986" s="11"/>
      <c r="M986" s="11"/>
    </row>
    <row r="987" spans="12:13" ht="14.25" customHeight="1" x14ac:dyDescent="0.35">
      <c r="L987" s="11"/>
      <c r="M987" s="11"/>
    </row>
    <row r="988" spans="12:13" ht="14.25" customHeight="1" x14ac:dyDescent="0.35">
      <c r="L988" s="11"/>
      <c r="M988" s="11"/>
    </row>
    <row r="989" spans="12:13" ht="14.25" customHeight="1" x14ac:dyDescent="0.35">
      <c r="L989" s="11"/>
      <c r="M989" s="11"/>
    </row>
    <row r="990" spans="12:13" ht="14.25" customHeight="1" x14ac:dyDescent="0.35">
      <c r="L990" s="11"/>
      <c r="M990" s="11"/>
    </row>
    <row r="991" spans="12:13" ht="14.25" customHeight="1" x14ac:dyDescent="0.35">
      <c r="L991" s="11"/>
      <c r="M991" s="11"/>
    </row>
    <row r="992" spans="12:13" ht="14.25" customHeight="1" x14ac:dyDescent="0.35">
      <c r="L992" s="11"/>
      <c r="M992" s="11"/>
    </row>
    <row r="993" spans="12:13" ht="14.25" customHeight="1" x14ac:dyDescent="0.35">
      <c r="L993" s="11"/>
      <c r="M993" s="11"/>
    </row>
    <row r="994" spans="12:13" ht="14.25" customHeight="1" x14ac:dyDescent="0.35">
      <c r="L994" s="11"/>
      <c r="M994" s="11"/>
    </row>
    <row r="995" spans="12:13" ht="14.25" customHeight="1" x14ac:dyDescent="0.35">
      <c r="L995" s="11"/>
      <c r="M995" s="11"/>
    </row>
    <row r="996" spans="12:13" ht="14.25" customHeight="1" x14ac:dyDescent="0.35">
      <c r="L996" s="11"/>
      <c r="M996" s="11"/>
    </row>
    <row r="997" spans="12:13" ht="14.25" customHeight="1" x14ac:dyDescent="0.35">
      <c r="L997" s="11"/>
      <c r="M997" s="11"/>
    </row>
    <row r="998" spans="12:13" ht="14.25" customHeight="1" x14ac:dyDescent="0.35">
      <c r="L998" s="11"/>
      <c r="M998" s="11"/>
    </row>
    <row r="999" spans="12:13" ht="14.25" customHeight="1" x14ac:dyDescent="0.35">
      <c r="L999" s="11"/>
      <c r="M999" s="11"/>
    </row>
    <row r="1000" spans="12:13" ht="14.25" customHeight="1" x14ac:dyDescent="0.35">
      <c r="L1000" s="11"/>
      <c r="M1000" s="11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328125" defaultRowHeight="15" customHeight="1" x14ac:dyDescent="0.35"/>
  <cols>
    <col min="1" max="3" width="8.6328125" customWidth="1"/>
    <col min="4" max="6" width="15.453125" customWidth="1"/>
    <col min="7" max="7" width="8.6328125" customWidth="1"/>
    <col min="8" max="8" width="17.36328125" customWidth="1"/>
    <col min="9" max="9" width="16.453125" customWidth="1"/>
    <col min="10" max="10" width="33.453125" customWidth="1"/>
    <col min="11" max="11" width="20.453125" customWidth="1"/>
    <col min="12" max="12" width="24.453125" customWidth="1"/>
    <col min="13" max="13" width="16.453125" customWidth="1"/>
    <col min="14" max="14" width="19.453125" customWidth="1"/>
    <col min="15" max="15" width="30.08984375" customWidth="1"/>
    <col min="16" max="16" width="8.6328125" customWidth="1"/>
    <col min="17" max="17" width="16.453125" customWidth="1"/>
    <col min="18" max="26" width="8.63281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28</v>
      </c>
      <c r="E1" s="1" t="s">
        <v>19</v>
      </c>
      <c r="F1" s="1" t="s">
        <v>29</v>
      </c>
      <c r="G1" s="1" t="s">
        <v>20</v>
      </c>
      <c r="H1" s="1" t="s">
        <v>9</v>
      </c>
      <c r="I1" s="1" t="s">
        <v>21</v>
      </c>
      <c r="J1" s="13" t="s">
        <v>22</v>
      </c>
      <c r="K1" s="1" t="s">
        <v>23</v>
      </c>
      <c r="L1" s="1" t="s">
        <v>12</v>
      </c>
      <c r="M1" s="14" t="s">
        <v>13</v>
      </c>
      <c r="N1" s="14" t="s">
        <v>14</v>
      </c>
      <c r="O1" s="1" t="s">
        <v>24</v>
      </c>
      <c r="P1" s="1" t="s">
        <v>16</v>
      </c>
      <c r="Q1" s="1" t="s">
        <v>25</v>
      </c>
      <c r="R1" s="4"/>
      <c r="S1" s="4"/>
    </row>
    <row r="2" spans="1:26" ht="14.25" customHeight="1" x14ac:dyDescent="0.35">
      <c r="A2" s="23"/>
      <c r="B2" s="23"/>
      <c r="C2" s="23">
        <v>0</v>
      </c>
      <c r="D2" s="23"/>
      <c r="E2" s="24">
        <f>INTERCEPT($D$3:$D$10, $C$3:$C$10)</f>
        <v>5613.75</v>
      </c>
      <c r="F2" s="24">
        <f>SLOPE($D$3:$D$10, $C$3:$C$10)</f>
        <v>886.41666666666663</v>
      </c>
      <c r="G2" s="23"/>
      <c r="H2" s="23"/>
      <c r="I2" s="23"/>
      <c r="J2" s="25"/>
      <c r="K2" s="23"/>
      <c r="L2" s="23"/>
      <c r="M2" s="26"/>
      <c r="N2" s="26"/>
      <c r="O2" s="23"/>
      <c r="P2" s="23"/>
      <c r="Q2" s="23"/>
      <c r="R2" s="23"/>
      <c r="S2" s="23"/>
      <c r="T2" s="25"/>
      <c r="U2" s="25"/>
      <c r="V2" s="25"/>
      <c r="W2" s="25"/>
      <c r="X2" s="25"/>
      <c r="Y2" s="25"/>
      <c r="Z2" s="25"/>
    </row>
    <row r="3" spans="1:26" ht="14.25" customHeight="1" x14ac:dyDescent="0.35">
      <c r="A3" s="5">
        <v>1</v>
      </c>
      <c r="B3" s="6">
        <v>1</v>
      </c>
      <c r="C3" s="5">
        <v>1</v>
      </c>
      <c r="D3" s="7">
        <v>5086</v>
      </c>
      <c r="E3" s="7">
        <f t="shared" ref="E3:E10" si="0">0.1*D3+(1-0.1)*(E2+F2)</f>
        <v>6358.7500000000009</v>
      </c>
      <c r="F3" s="7">
        <f t="shared" ref="F3:F10" si="1">0.1*(E3-E2)+(1-0.1)*F2</f>
        <v>872.27500000000009</v>
      </c>
      <c r="G3" s="29">
        <f t="shared" ref="G3:G11" si="2">E2 + F2</f>
        <v>6500.166666666667</v>
      </c>
      <c r="H3" s="29">
        <f t="shared" ref="H3:H10" si="3">G3-D3</f>
        <v>1414.166666666667</v>
      </c>
      <c r="I3" s="18">
        <f t="shared" ref="I3:I10" si="4">ABS(H3)</f>
        <v>1414.166666666667</v>
      </c>
      <c r="J3" s="30">
        <f t="shared" ref="J3:J10" si="5">H3^2</f>
        <v>1999867.3611111119</v>
      </c>
      <c r="K3" s="30">
        <f t="shared" ref="K3:K10" si="6">AVERAGE($J$3:J3)</f>
        <v>1999867.3611111119</v>
      </c>
      <c r="L3" s="18">
        <f t="shared" ref="L3:L10" si="7">AVERAGE($I$3:I3)</f>
        <v>1414.166666666667</v>
      </c>
      <c r="M3" s="11">
        <f t="shared" ref="M3:M10" si="8">H3/D3</f>
        <v>0.2780508585659982</v>
      </c>
      <c r="N3" s="11">
        <f t="shared" ref="N3:N10" si="9">ABS(M3)</f>
        <v>0.2780508585659982</v>
      </c>
      <c r="O3" s="11">
        <f t="shared" ref="O3:O10" si="10">AVERAGE($N$3:N3)</f>
        <v>0.2780508585659982</v>
      </c>
      <c r="P3" s="29">
        <f>H3</f>
        <v>1414.166666666667</v>
      </c>
      <c r="Q3" s="18">
        <f t="shared" ref="Q3:Q10" si="11">P3/L3</f>
        <v>1</v>
      </c>
    </row>
    <row r="4" spans="1:26" ht="14.25" customHeight="1" x14ac:dyDescent="0.35">
      <c r="A4" s="5">
        <v>1</v>
      </c>
      <c r="B4" s="6">
        <v>2</v>
      </c>
      <c r="C4" s="5">
        <v>2</v>
      </c>
      <c r="D4" s="7">
        <v>10171</v>
      </c>
      <c r="E4" s="7">
        <f t="shared" si="0"/>
        <v>7525.0225000000019</v>
      </c>
      <c r="F4" s="7">
        <f t="shared" si="1"/>
        <v>901.67475000000024</v>
      </c>
      <c r="G4" s="29">
        <f t="shared" si="2"/>
        <v>7231.0250000000015</v>
      </c>
      <c r="H4" s="29">
        <f t="shared" si="3"/>
        <v>-2939.9749999999985</v>
      </c>
      <c r="I4" s="18">
        <f t="shared" si="4"/>
        <v>2939.9749999999985</v>
      </c>
      <c r="J4" s="30">
        <f t="shared" si="5"/>
        <v>8643453.000624992</v>
      </c>
      <c r="K4" s="30">
        <f t="shared" si="6"/>
        <v>5321660.1808680519</v>
      </c>
      <c r="L4" s="18">
        <f t="shared" si="7"/>
        <v>2177.0708333333328</v>
      </c>
      <c r="M4" s="11">
        <f t="shared" si="8"/>
        <v>-0.28905466522465822</v>
      </c>
      <c r="N4" s="11">
        <f t="shared" si="9"/>
        <v>0.28905466522465822</v>
      </c>
      <c r="O4" s="11">
        <f t="shared" si="10"/>
        <v>0.28355276189532819</v>
      </c>
      <c r="P4" s="29">
        <f t="shared" ref="P4:P10" si="12">H4+P3</f>
        <v>-1525.8083333333316</v>
      </c>
      <c r="Q4" s="18">
        <f t="shared" si="11"/>
        <v>-0.70085378480641936</v>
      </c>
    </row>
    <row r="5" spans="1:26" ht="14.25" customHeight="1" x14ac:dyDescent="0.35">
      <c r="A5" s="5">
        <v>1</v>
      </c>
      <c r="B5" s="6">
        <v>3</v>
      </c>
      <c r="C5" s="5">
        <v>3</v>
      </c>
      <c r="D5" s="7">
        <v>6781</v>
      </c>
      <c r="E5" s="7">
        <f t="shared" si="0"/>
        <v>8262.1275250000035</v>
      </c>
      <c r="F5" s="7">
        <f t="shared" si="1"/>
        <v>885.21777750000047</v>
      </c>
      <c r="G5" s="29">
        <f t="shared" si="2"/>
        <v>8426.6972500000029</v>
      </c>
      <c r="H5" s="29">
        <f t="shared" si="3"/>
        <v>1645.6972500000029</v>
      </c>
      <c r="I5" s="18">
        <f t="shared" si="4"/>
        <v>1645.6972500000029</v>
      </c>
      <c r="J5" s="30">
        <f t="shared" si="5"/>
        <v>2708319.438657572</v>
      </c>
      <c r="K5" s="30">
        <f t="shared" si="6"/>
        <v>4450546.6001312258</v>
      </c>
      <c r="L5" s="18">
        <f t="shared" si="7"/>
        <v>1999.9463055555561</v>
      </c>
      <c r="M5" s="11">
        <f t="shared" si="8"/>
        <v>0.2426924126235073</v>
      </c>
      <c r="N5" s="11">
        <f t="shared" si="9"/>
        <v>0.2426924126235073</v>
      </c>
      <c r="O5" s="11">
        <f t="shared" si="10"/>
        <v>0.2699326454713879</v>
      </c>
      <c r="P5" s="29">
        <f t="shared" si="12"/>
        <v>119.88891666667132</v>
      </c>
      <c r="Q5" s="18">
        <f t="shared" si="11"/>
        <v>5.9946067718737034E-2</v>
      </c>
    </row>
    <row r="6" spans="1:26" ht="14.25" customHeight="1" x14ac:dyDescent="0.35">
      <c r="A6" s="5">
        <v>1</v>
      </c>
      <c r="B6" s="6">
        <v>4</v>
      </c>
      <c r="C6" s="5">
        <v>4</v>
      </c>
      <c r="D6" s="7">
        <v>11866</v>
      </c>
      <c r="E6" s="7">
        <f t="shared" si="0"/>
        <v>9419.2107722500041</v>
      </c>
      <c r="F6" s="7">
        <f t="shared" si="1"/>
        <v>912.40432447500052</v>
      </c>
      <c r="G6" s="29">
        <f t="shared" si="2"/>
        <v>9147.3453025000035</v>
      </c>
      <c r="H6" s="29">
        <f t="shared" si="3"/>
        <v>-2718.6546974999965</v>
      </c>
      <c r="I6" s="18">
        <f t="shared" si="4"/>
        <v>2718.6546974999965</v>
      </c>
      <c r="J6" s="30">
        <f t="shared" si="5"/>
        <v>7391083.3642387977</v>
      </c>
      <c r="K6" s="30">
        <f t="shared" si="6"/>
        <v>5185680.7911581183</v>
      </c>
      <c r="L6" s="18">
        <f t="shared" si="7"/>
        <v>2179.6234035416664</v>
      </c>
      <c r="M6" s="11">
        <f t="shared" si="8"/>
        <v>-0.22911298647395892</v>
      </c>
      <c r="N6" s="11">
        <f t="shared" si="9"/>
        <v>0.22911298647395892</v>
      </c>
      <c r="O6" s="11">
        <f t="shared" si="10"/>
        <v>0.25972773072203065</v>
      </c>
      <c r="P6" s="29">
        <f t="shared" si="12"/>
        <v>-2598.7657808333252</v>
      </c>
      <c r="Q6" s="18">
        <f t="shared" si="11"/>
        <v>-1.1923003655634248</v>
      </c>
    </row>
    <row r="7" spans="1:26" ht="14.25" customHeight="1" x14ac:dyDescent="0.35">
      <c r="A7" s="5">
        <v>2</v>
      </c>
      <c r="B7" s="6">
        <v>1</v>
      </c>
      <c r="C7" s="5">
        <v>5</v>
      </c>
      <c r="D7" s="7">
        <v>6438</v>
      </c>
      <c r="E7" s="7">
        <f t="shared" si="0"/>
        <v>9942.2535870525044</v>
      </c>
      <c r="F7" s="7">
        <f t="shared" si="1"/>
        <v>873.46817350775052</v>
      </c>
      <c r="G7" s="29">
        <f t="shared" si="2"/>
        <v>10331.615096725005</v>
      </c>
      <c r="H7" s="29">
        <f t="shared" si="3"/>
        <v>3893.6150967250051</v>
      </c>
      <c r="I7" s="18">
        <f t="shared" si="4"/>
        <v>3893.6150967250051</v>
      </c>
      <c r="J7" s="19">
        <f t="shared" si="5"/>
        <v>15160238.52144487</v>
      </c>
      <c r="K7" s="30">
        <f t="shared" si="6"/>
        <v>7180592.3372154683</v>
      </c>
      <c r="L7" s="18">
        <f t="shared" si="7"/>
        <v>2522.4217421783342</v>
      </c>
      <c r="M7" s="11">
        <f t="shared" si="8"/>
        <v>0.60478643937946641</v>
      </c>
      <c r="N7" s="11">
        <f t="shared" si="9"/>
        <v>0.60478643937946641</v>
      </c>
      <c r="O7" s="11">
        <f t="shared" si="10"/>
        <v>0.32873947245351781</v>
      </c>
      <c r="P7" s="29">
        <f t="shared" si="12"/>
        <v>1294.8493158916799</v>
      </c>
      <c r="Q7" s="18">
        <f t="shared" si="11"/>
        <v>0.51333577341173053</v>
      </c>
    </row>
    <row r="8" spans="1:26" ht="14.25" customHeight="1" x14ac:dyDescent="0.35">
      <c r="A8" s="5">
        <v>2</v>
      </c>
      <c r="B8" s="6">
        <v>2</v>
      </c>
      <c r="C8" s="5">
        <v>6</v>
      </c>
      <c r="D8" s="7">
        <v>12875</v>
      </c>
      <c r="E8" s="7">
        <f t="shared" si="0"/>
        <v>11021.64958450423</v>
      </c>
      <c r="F8" s="7">
        <f t="shared" si="1"/>
        <v>894.06095590214807</v>
      </c>
      <c r="G8" s="29">
        <f t="shared" si="2"/>
        <v>10815.721760560255</v>
      </c>
      <c r="H8" s="29">
        <f t="shared" si="3"/>
        <v>-2059.2782394397454</v>
      </c>
      <c r="I8" s="18">
        <f t="shared" si="4"/>
        <v>2059.2782394397454</v>
      </c>
      <c r="J8" s="19">
        <f t="shared" si="5"/>
        <v>4240626.8674300574</v>
      </c>
      <c r="K8" s="30">
        <f t="shared" si="6"/>
        <v>6690598.0922512338</v>
      </c>
      <c r="L8" s="18">
        <f t="shared" si="7"/>
        <v>2445.2311583885694</v>
      </c>
      <c r="M8" s="11">
        <f t="shared" si="8"/>
        <v>-0.15994394092735886</v>
      </c>
      <c r="N8" s="11">
        <f t="shared" si="9"/>
        <v>0.15994394092735886</v>
      </c>
      <c r="O8" s="11">
        <f t="shared" si="10"/>
        <v>0.30060688386582463</v>
      </c>
      <c r="P8" s="29">
        <f t="shared" si="12"/>
        <v>-764.42892354806554</v>
      </c>
      <c r="Q8" s="18">
        <f t="shared" si="11"/>
        <v>-0.31262031032347531</v>
      </c>
    </row>
    <row r="9" spans="1:26" ht="14.25" customHeight="1" x14ac:dyDescent="0.35">
      <c r="A9" s="5">
        <v>2</v>
      </c>
      <c r="B9" s="6">
        <v>3</v>
      </c>
      <c r="C9" s="5">
        <v>7</v>
      </c>
      <c r="D9" s="7">
        <v>8583</v>
      </c>
      <c r="E9" s="7">
        <f t="shared" si="0"/>
        <v>11582.43948636574</v>
      </c>
      <c r="F9" s="7">
        <f t="shared" si="1"/>
        <v>860.73385049808428</v>
      </c>
      <c r="G9" s="29">
        <f t="shared" si="2"/>
        <v>11915.710540406379</v>
      </c>
      <c r="H9" s="29">
        <f t="shared" si="3"/>
        <v>3332.7105404063786</v>
      </c>
      <c r="I9" s="18">
        <f t="shared" si="4"/>
        <v>3332.7105404063786</v>
      </c>
      <c r="J9" s="19">
        <f t="shared" si="5"/>
        <v>11106959.546135776</v>
      </c>
      <c r="K9" s="30">
        <f t="shared" si="6"/>
        <v>7321506.8713775966</v>
      </c>
      <c r="L9" s="18">
        <f t="shared" si="7"/>
        <v>2572.0139272482566</v>
      </c>
      <c r="M9" s="11">
        <f t="shared" si="8"/>
        <v>0.38829203546619812</v>
      </c>
      <c r="N9" s="11">
        <f t="shared" si="9"/>
        <v>0.38829203546619812</v>
      </c>
      <c r="O9" s="11">
        <f t="shared" si="10"/>
        <v>0.31313333409444943</v>
      </c>
      <c r="P9" s="29">
        <f t="shared" si="12"/>
        <v>2568.2816168583131</v>
      </c>
      <c r="Q9" s="18">
        <f t="shared" si="11"/>
        <v>0.99854887629090849</v>
      </c>
    </row>
    <row r="10" spans="1:26" ht="14.25" customHeight="1" x14ac:dyDescent="0.35">
      <c r="A10" s="5">
        <v>2</v>
      </c>
      <c r="B10" s="6">
        <v>4</v>
      </c>
      <c r="C10" s="5">
        <v>8</v>
      </c>
      <c r="D10" s="7">
        <v>15021</v>
      </c>
      <c r="E10" s="7">
        <f t="shared" si="0"/>
        <v>12700.956003177442</v>
      </c>
      <c r="F10" s="7">
        <f t="shared" si="1"/>
        <v>886.5121171294461</v>
      </c>
      <c r="G10" s="29">
        <f t="shared" si="2"/>
        <v>12443.173336863823</v>
      </c>
      <c r="H10" s="29">
        <f t="shared" si="3"/>
        <v>-2577.8266631361766</v>
      </c>
      <c r="I10" s="18">
        <f t="shared" si="4"/>
        <v>2577.8266631361766</v>
      </c>
      <c r="J10" s="19">
        <f t="shared" si="5"/>
        <v>6645190.3051757952</v>
      </c>
      <c r="K10" s="30">
        <f t="shared" si="6"/>
        <v>7236967.3006023718</v>
      </c>
      <c r="L10" s="18">
        <f t="shared" si="7"/>
        <v>2572.7405192342467</v>
      </c>
      <c r="M10" s="11">
        <f t="shared" si="8"/>
        <v>-0.17161485008562524</v>
      </c>
      <c r="N10" s="11">
        <f t="shared" si="9"/>
        <v>0.17161485008562524</v>
      </c>
      <c r="O10" s="11">
        <f t="shared" si="10"/>
        <v>0.29544352359334641</v>
      </c>
      <c r="P10" s="29">
        <f t="shared" si="12"/>
        <v>-9.5450462778635483</v>
      </c>
      <c r="Q10" s="18">
        <f t="shared" si="11"/>
        <v>-3.7100695567637526E-3</v>
      </c>
    </row>
    <row r="11" spans="1:26" ht="14.25" customHeight="1" x14ac:dyDescent="0.35">
      <c r="A11" s="5">
        <v>3</v>
      </c>
      <c r="B11" s="6">
        <v>1</v>
      </c>
      <c r="C11" s="5">
        <v>9</v>
      </c>
      <c r="E11" s="19"/>
      <c r="F11" s="19"/>
      <c r="G11" s="29">
        <f t="shared" si="2"/>
        <v>13587.468120306889</v>
      </c>
      <c r="M11" s="11"/>
      <c r="N11" s="11"/>
    </row>
    <row r="12" spans="1:26" ht="14.25" customHeight="1" x14ac:dyDescent="0.35">
      <c r="A12" s="5">
        <v>3</v>
      </c>
      <c r="B12" s="6">
        <v>2</v>
      </c>
      <c r="C12" s="5">
        <v>10</v>
      </c>
      <c r="E12" s="19"/>
      <c r="F12" s="19"/>
      <c r="G12" s="29">
        <f>E10 + 2 * F10</f>
        <v>14473.980237436333</v>
      </c>
      <c r="M12" s="11"/>
      <c r="N12" s="11"/>
    </row>
    <row r="13" spans="1:26" ht="14.25" customHeight="1" x14ac:dyDescent="0.35">
      <c r="A13" s="5">
        <v>3</v>
      </c>
      <c r="B13" s="6">
        <v>3</v>
      </c>
      <c r="C13" s="5">
        <v>11</v>
      </c>
      <c r="E13" s="19"/>
      <c r="F13" s="19"/>
      <c r="G13" s="29">
        <f>E10 + 3 * F10</f>
        <v>15360.49235456578</v>
      </c>
      <c r="M13" s="11"/>
      <c r="N13" s="11"/>
    </row>
    <row r="14" spans="1:26" ht="14.25" customHeight="1" x14ac:dyDescent="0.35">
      <c r="A14" s="5">
        <v>3</v>
      </c>
      <c r="B14" s="6">
        <v>4</v>
      </c>
      <c r="C14" s="5">
        <v>12</v>
      </c>
      <c r="E14" s="19"/>
      <c r="F14" s="19"/>
      <c r="G14" s="29">
        <f>E10 + 4 * F10</f>
        <v>16247.004471695225</v>
      </c>
      <c r="M14" s="11"/>
      <c r="N14" s="11"/>
    </row>
    <row r="15" spans="1:26" ht="14.25" customHeight="1" x14ac:dyDescent="0.35">
      <c r="A15" s="5">
        <v>4</v>
      </c>
      <c r="B15" s="6">
        <v>1</v>
      </c>
      <c r="C15" s="5">
        <v>13</v>
      </c>
      <c r="E15" s="19"/>
      <c r="F15" s="19"/>
      <c r="G15" s="29">
        <f>E10 + 5 * F10</f>
        <v>17133.51658882467</v>
      </c>
      <c r="M15" s="11"/>
      <c r="N15" s="11"/>
    </row>
    <row r="16" spans="1:26" ht="14.25" customHeight="1" x14ac:dyDescent="0.35">
      <c r="A16" s="5">
        <v>4</v>
      </c>
      <c r="B16" s="6">
        <v>2</v>
      </c>
      <c r="C16" s="5">
        <v>14</v>
      </c>
      <c r="E16" s="19"/>
      <c r="F16" s="19"/>
      <c r="G16" s="29">
        <f>E10 + 6 * F10</f>
        <v>18020.028705954119</v>
      </c>
      <c r="M16" s="11"/>
      <c r="N16" s="11"/>
    </row>
    <row r="17" spans="1:14" ht="14.25" customHeight="1" x14ac:dyDescent="0.35">
      <c r="A17" s="5">
        <v>4</v>
      </c>
      <c r="B17" s="6">
        <v>3</v>
      </c>
      <c r="C17" s="5">
        <v>15</v>
      </c>
      <c r="E17" s="19"/>
      <c r="F17" s="19"/>
      <c r="G17" s="29">
        <f>E10 + 7 * F10</f>
        <v>18906.540823083564</v>
      </c>
      <c r="M17" s="11"/>
      <c r="N17" s="11"/>
    </row>
    <row r="18" spans="1:14" ht="14.25" customHeight="1" x14ac:dyDescent="0.35">
      <c r="A18" s="5">
        <v>4</v>
      </c>
      <c r="B18" s="6">
        <v>4</v>
      </c>
      <c r="C18" s="5">
        <v>16</v>
      </c>
      <c r="E18" s="19"/>
      <c r="F18" s="19"/>
      <c r="G18" s="29">
        <f>E10 + 8 * F10</f>
        <v>19793.052940213012</v>
      </c>
      <c r="M18" s="11"/>
      <c r="N18" s="11"/>
    </row>
    <row r="19" spans="1:14" ht="14.25" customHeight="1" x14ac:dyDescent="0.35">
      <c r="M19" s="11"/>
      <c r="N19" s="11"/>
    </row>
    <row r="20" spans="1:14" ht="14.25" customHeight="1" x14ac:dyDescent="0.35">
      <c r="M20" s="11"/>
      <c r="N20" s="11"/>
    </row>
    <row r="21" spans="1:14" ht="14.25" customHeight="1" x14ac:dyDescent="0.35">
      <c r="M21" s="11"/>
      <c r="N21" s="11"/>
    </row>
    <row r="22" spans="1:14" ht="14.25" customHeight="1" x14ac:dyDescent="0.35">
      <c r="M22" s="11"/>
      <c r="N22" s="11"/>
    </row>
    <row r="23" spans="1:14" ht="14.25" customHeight="1" x14ac:dyDescent="0.35">
      <c r="M23" s="11"/>
      <c r="N23" s="11"/>
    </row>
    <row r="24" spans="1:14" ht="14.25" customHeight="1" x14ac:dyDescent="0.35">
      <c r="M24" s="11"/>
      <c r="N24" s="11"/>
    </row>
    <row r="25" spans="1:14" ht="14.25" customHeight="1" x14ac:dyDescent="0.35">
      <c r="M25" s="11"/>
      <c r="N25" s="11"/>
    </row>
    <row r="26" spans="1:14" ht="14.25" customHeight="1" x14ac:dyDescent="0.35">
      <c r="M26" s="11"/>
      <c r="N26" s="11"/>
    </row>
    <row r="27" spans="1:14" ht="14.25" customHeight="1" x14ac:dyDescent="0.35">
      <c r="M27" s="11"/>
      <c r="N27" s="11"/>
    </row>
    <row r="28" spans="1:14" ht="14.25" customHeight="1" x14ac:dyDescent="0.35">
      <c r="M28" s="11"/>
      <c r="N28" s="11"/>
    </row>
    <row r="29" spans="1:14" ht="14.25" customHeight="1" x14ac:dyDescent="0.35">
      <c r="M29" s="11"/>
      <c r="N29" s="11"/>
    </row>
    <row r="30" spans="1:14" ht="14.25" customHeight="1" x14ac:dyDescent="0.35">
      <c r="M30" s="11"/>
      <c r="N30" s="11"/>
    </row>
    <row r="31" spans="1:14" ht="14.25" customHeight="1" x14ac:dyDescent="0.35">
      <c r="M31" s="11"/>
      <c r="N31" s="11"/>
    </row>
    <row r="32" spans="1:14" ht="14.25" customHeight="1" x14ac:dyDescent="0.35">
      <c r="M32" s="11"/>
      <c r="N32" s="11"/>
    </row>
    <row r="33" spans="13:14" ht="14.25" customHeight="1" x14ac:dyDescent="0.35">
      <c r="M33" s="11"/>
      <c r="N33" s="11"/>
    </row>
    <row r="34" spans="13:14" ht="14.25" customHeight="1" x14ac:dyDescent="0.35">
      <c r="M34" s="11"/>
      <c r="N34" s="11"/>
    </row>
    <row r="35" spans="13:14" ht="14.25" customHeight="1" x14ac:dyDescent="0.35">
      <c r="M35" s="11"/>
      <c r="N35" s="11"/>
    </row>
    <row r="36" spans="13:14" ht="14.25" customHeight="1" x14ac:dyDescent="0.35">
      <c r="M36" s="11"/>
      <c r="N36" s="11"/>
    </row>
    <row r="37" spans="13:14" ht="14.25" customHeight="1" x14ac:dyDescent="0.35">
      <c r="M37" s="11"/>
      <c r="N37" s="11"/>
    </row>
    <row r="38" spans="13:14" ht="14.25" customHeight="1" x14ac:dyDescent="0.35">
      <c r="M38" s="11"/>
      <c r="N38" s="11"/>
    </row>
    <row r="39" spans="13:14" ht="14.25" customHeight="1" x14ac:dyDescent="0.35">
      <c r="M39" s="11"/>
      <c r="N39" s="11"/>
    </row>
    <row r="40" spans="13:14" ht="14.25" customHeight="1" x14ac:dyDescent="0.35">
      <c r="M40" s="11"/>
      <c r="N40" s="11"/>
    </row>
    <row r="41" spans="13:14" ht="14.25" customHeight="1" x14ac:dyDescent="0.35">
      <c r="M41" s="11"/>
      <c r="N41" s="11"/>
    </row>
    <row r="42" spans="13:14" ht="14.25" customHeight="1" x14ac:dyDescent="0.35">
      <c r="M42" s="11"/>
      <c r="N42" s="11"/>
    </row>
    <row r="43" spans="13:14" ht="14.25" customHeight="1" x14ac:dyDescent="0.35">
      <c r="M43" s="11"/>
      <c r="N43" s="11"/>
    </row>
    <row r="44" spans="13:14" ht="14.25" customHeight="1" x14ac:dyDescent="0.35">
      <c r="M44" s="11"/>
      <c r="N44" s="11"/>
    </row>
    <row r="45" spans="13:14" ht="14.25" customHeight="1" x14ac:dyDescent="0.35">
      <c r="M45" s="11"/>
      <c r="N45" s="11"/>
    </row>
    <row r="46" spans="13:14" ht="14.25" customHeight="1" x14ac:dyDescent="0.35">
      <c r="M46" s="11"/>
      <c r="N46" s="11"/>
    </row>
    <row r="47" spans="13:14" ht="14.25" customHeight="1" x14ac:dyDescent="0.35">
      <c r="M47" s="11"/>
      <c r="N47" s="11"/>
    </row>
    <row r="48" spans="13:14" ht="14.25" customHeight="1" x14ac:dyDescent="0.35">
      <c r="M48" s="11"/>
      <c r="N48" s="11"/>
    </row>
    <row r="49" spans="13:14" ht="14.25" customHeight="1" x14ac:dyDescent="0.35">
      <c r="M49" s="11"/>
      <c r="N49" s="11"/>
    </row>
    <row r="50" spans="13:14" ht="14.25" customHeight="1" x14ac:dyDescent="0.35">
      <c r="M50" s="11"/>
      <c r="N50" s="11"/>
    </row>
    <row r="51" spans="13:14" ht="14.25" customHeight="1" x14ac:dyDescent="0.35">
      <c r="M51" s="11"/>
      <c r="N51" s="11"/>
    </row>
    <row r="52" spans="13:14" ht="14.25" customHeight="1" x14ac:dyDescent="0.35">
      <c r="M52" s="11"/>
      <c r="N52" s="11"/>
    </row>
    <row r="53" spans="13:14" ht="14.25" customHeight="1" x14ac:dyDescent="0.35">
      <c r="M53" s="11"/>
      <c r="N53" s="11"/>
    </row>
    <row r="54" spans="13:14" ht="14.25" customHeight="1" x14ac:dyDescent="0.35">
      <c r="M54" s="11"/>
      <c r="N54" s="11"/>
    </row>
    <row r="55" spans="13:14" ht="14.25" customHeight="1" x14ac:dyDescent="0.35">
      <c r="M55" s="11"/>
      <c r="N55" s="11"/>
    </row>
    <row r="56" spans="13:14" ht="14.25" customHeight="1" x14ac:dyDescent="0.35">
      <c r="M56" s="11"/>
      <c r="N56" s="11"/>
    </row>
    <row r="57" spans="13:14" ht="14.25" customHeight="1" x14ac:dyDescent="0.35">
      <c r="M57" s="11"/>
      <c r="N57" s="11"/>
    </row>
    <row r="58" spans="13:14" ht="14.25" customHeight="1" x14ac:dyDescent="0.35">
      <c r="M58" s="11"/>
      <c r="N58" s="11"/>
    </row>
    <row r="59" spans="13:14" ht="14.25" customHeight="1" x14ac:dyDescent="0.35">
      <c r="M59" s="11"/>
      <c r="N59" s="11"/>
    </row>
    <row r="60" spans="13:14" ht="14.25" customHeight="1" x14ac:dyDescent="0.35">
      <c r="M60" s="11"/>
      <c r="N60" s="11"/>
    </row>
    <row r="61" spans="13:14" ht="14.25" customHeight="1" x14ac:dyDescent="0.35">
      <c r="M61" s="11"/>
      <c r="N61" s="11"/>
    </row>
    <row r="62" spans="13:14" ht="14.25" customHeight="1" x14ac:dyDescent="0.35">
      <c r="M62" s="11"/>
      <c r="N62" s="11"/>
    </row>
    <row r="63" spans="13:14" ht="14.25" customHeight="1" x14ac:dyDescent="0.35">
      <c r="M63" s="11"/>
      <c r="N63" s="11"/>
    </row>
    <row r="64" spans="13:14" ht="14.25" customHeight="1" x14ac:dyDescent="0.35">
      <c r="M64" s="11"/>
      <c r="N64" s="11"/>
    </row>
    <row r="65" spans="13:14" ht="14.25" customHeight="1" x14ac:dyDescent="0.35">
      <c r="M65" s="11"/>
      <c r="N65" s="11"/>
    </row>
    <row r="66" spans="13:14" ht="14.25" customHeight="1" x14ac:dyDescent="0.35">
      <c r="M66" s="11"/>
      <c r="N66" s="11"/>
    </row>
    <row r="67" spans="13:14" ht="14.25" customHeight="1" x14ac:dyDescent="0.35">
      <c r="M67" s="11"/>
      <c r="N67" s="11"/>
    </row>
    <row r="68" spans="13:14" ht="14.25" customHeight="1" x14ac:dyDescent="0.35">
      <c r="M68" s="11"/>
      <c r="N68" s="11"/>
    </row>
    <row r="69" spans="13:14" ht="14.25" customHeight="1" x14ac:dyDescent="0.35">
      <c r="M69" s="11"/>
      <c r="N69" s="11"/>
    </row>
    <row r="70" spans="13:14" ht="14.25" customHeight="1" x14ac:dyDescent="0.35">
      <c r="M70" s="11"/>
      <c r="N70" s="11"/>
    </row>
    <row r="71" spans="13:14" ht="14.25" customHeight="1" x14ac:dyDescent="0.35">
      <c r="M71" s="11"/>
      <c r="N71" s="11"/>
    </row>
    <row r="72" spans="13:14" ht="14.25" customHeight="1" x14ac:dyDescent="0.35">
      <c r="M72" s="11"/>
      <c r="N72" s="11"/>
    </row>
    <row r="73" spans="13:14" ht="14.25" customHeight="1" x14ac:dyDescent="0.35">
      <c r="M73" s="11"/>
      <c r="N73" s="11"/>
    </row>
    <row r="74" spans="13:14" ht="14.25" customHeight="1" x14ac:dyDescent="0.35">
      <c r="M74" s="11"/>
      <c r="N74" s="11"/>
    </row>
    <row r="75" spans="13:14" ht="14.25" customHeight="1" x14ac:dyDescent="0.35">
      <c r="M75" s="11"/>
      <c r="N75" s="11"/>
    </row>
    <row r="76" spans="13:14" ht="14.25" customHeight="1" x14ac:dyDescent="0.35">
      <c r="M76" s="11"/>
      <c r="N76" s="11"/>
    </row>
    <row r="77" spans="13:14" ht="14.25" customHeight="1" x14ac:dyDescent="0.35">
      <c r="M77" s="11"/>
      <c r="N77" s="11"/>
    </row>
    <row r="78" spans="13:14" ht="14.25" customHeight="1" x14ac:dyDescent="0.35">
      <c r="M78" s="11"/>
      <c r="N78" s="11"/>
    </row>
    <row r="79" spans="13:14" ht="14.25" customHeight="1" x14ac:dyDescent="0.35">
      <c r="M79" s="11"/>
      <c r="N79" s="11"/>
    </row>
    <row r="80" spans="13:14" ht="14.25" customHeight="1" x14ac:dyDescent="0.35">
      <c r="M80" s="11"/>
      <c r="N80" s="11"/>
    </row>
    <row r="81" spans="13:14" ht="14.25" customHeight="1" x14ac:dyDescent="0.35">
      <c r="M81" s="11"/>
      <c r="N81" s="11"/>
    </row>
    <row r="82" spans="13:14" ht="14.25" customHeight="1" x14ac:dyDescent="0.35">
      <c r="M82" s="11"/>
      <c r="N82" s="11"/>
    </row>
    <row r="83" spans="13:14" ht="14.25" customHeight="1" x14ac:dyDescent="0.35">
      <c r="M83" s="11"/>
      <c r="N83" s="11"/>
    </row>
    <row r="84" spans="13:14" ht="14.25" customHeight="1" x14ac:dyDescent="0.35">
      <c r="M84" s="11"/>
      <c r="N84" s="11"/>
    </row>
    <row r="85" spans="13:14" ht="14.25" customHeight="1" x14ac:dyDescent="0.35">
      <c r="M85" s="11"/>
      <c r="N85" s="11"/>
    </row>
    <row r="86" spans="13:14" ht="14.25" customHeight="1" x14ac:dyDescent="0.35">
      <c r="M86" s="11"/>
      <c r="N86" s="11"/>
    </row>
    <row r="87" spans="13:14" ht="14.25" customHeight="1" x14ac:dyDescent="0.35">
      <c r="M87" s="11"/>
      <c r="N87" s="11"/>
    </row>
    <row r="88" spans="13:14" ht="14.25" customHeight="1" x14ac:dyDescent="0.35">
      <c r="M88" s="11"/>
      <c r="N88" s="11"/>
    </row>
    <row r="89" spans="13:14" ht="14.25" customHeight="1" x14ac:dyDescent="0.35">
      <c r="M89" s="11"/>
      <c r="N89" s="11"/>
    </row>
    <row r="90" spans="13:14" ht="14.25" customHeight="1" x14ac:dyDescent="0.35">
      <c r="M90" s="11"/>
      <c r="N90" s="11"/>
    </row>
    <row r="91" spans="13:14" ht="14.25" customHeight="1" x14ac:dyDescent="0.35">
      <c r="M91" s="11"/>
      <c r="N91" s="11"/>
    </row>
    <row r="92" spans="13:14" ht="14.25" customHeight="1" x14ac:dyDescent="0.35">
      <c r="M92" s="11"/>
      <c r="N92" s="11"/>
    </row>
    <row r="93" spans="13:14" ht="14.25" customHeight="1" x14ac:dyDescent="0.35">
      <c r="M93" s="11"/>
      <c r="N93" s="11"/>
    </row>
    <row r="94" spans="13:14" ht="14.25" customHeight="1" x14ac:dyDescent="0.35">
      <c r="M94" s="11"/>
      <c r="N94" s="11"/>
    </row>
    <row r="95" spans="13:14" ht="14.25" customHeight="1" x14ac:dyDescent="0.35">
      <c r="M95" s="11"/>
      <c r="N95" s="11"/>
    </row>
    <row r="96" spans="13:14" ht="14.25" customHeight="1" x14ac:dyDescent="0.35">
      <c r="M96" s="11"/>
      <c r="N96" s="11"/>
    </row>
    <row r="97" spans="13:14" ht="14.25" customHeight="1" x14ac:dyDescent="0.35">
      <c r="M97" s="11"/>
      <c r="N97" s="11"/>
    </row>
    <row r="98" spans="13:14" ht="14.25" customHeight="1" x14ac:dyDescent="0.35">
      <c r="M98" s="11"/>
      <c r="N98" s="11"/>
    </row>
    <row r="99" spans="13:14" ht="14.25" customHeight="1" x14ac:dyDescent="0.35">
      <c r="M99" s="11"/>
      <c r="N99" s="11"/>
    </row>
    <row r="100" spans="13:14" ht="14.25" customHeight="1" x14ac:dyDescent="0.35">
      <c r="M100" s="11"/>
      <c r="N100" s="11"/>
    </row>
    <row r="101" spans="13:14" ht="14.25" customHeight="1" x14ac:dyDescent="0.35">
      <c r="M101" s="11"/>
      <c r="N101" s="11"/>
    </row>
    <row r="102" spans="13:14" ht="14.25" customHeight="1" x14ac:dyDescent="0.35">
      <c r="M102" s="11"/>
      <c r="N102" s="11"/>
    </row>
    <row r="103" spans="13:14" ht="14.25" customHeight="1" x14ac:dyDescent="0.35">
      <c r="M103" s="11"/>
      <c r="N103" s="11"/>
    </row>
    <row r="104" spans="13:14" ht="14.25" customHeight="1" x14ac:dyDescent="0.35">
      <c r="M104" s="11"/>
      <c r="N104" s="11"/>
    </row>
    <row r="105" spans="13:14" ht="14.25" customHeight="1" x14ac:dyDescent="0.35">
      <c r="M105" s="11"/>
      <c r="N105" s="11"/>
    </row>
    <row r="106" spans="13:14" ht="14.25" customHeight="1" x14ac:dyDescent="0.35">
      <c r="M106" s="11"/>
      <c r="N106" s="11"/>
    </row>
    <row r="107" spans="13:14" ht="14.25" customHeight="1" x14ac:dyDescent="0.35">
      <c r="M107" s="11"/>
      <c r="N107" s="11"/>
    </row>
    <row r="108" spans="13:14" ht="14.25" customHeight="1" x14ac:dyDescent="0.35">
      <c r="M108" s="11"/>
      <c r="N108" s="11"/>
    </row>
    <row r="109" spans="13:14" ht="14.25" customHeight="1" x14ac:dyDescent="0.35">
      <c r="M109" s="11"/>
      <c r="N109" s="11"/>
    </row>
    <row r="110" spans="13:14" ht="14.25" customHeight="1" x14ac:dyDescent="0.35">
      <c r="M110" s="11"/>
      <c r="N110" s="11"/>
    </row>
    <row r="111" spans="13:14" ht="14.25" customHeight="1" x14ac:dyDescent="0.35">
      <c r="M111" s="11"/>
      <c r="N111" s="11"/>
    </row>
    <row r="112" spans="13:14" ht="14.25" customHeight="1" x14ac:dyDescent="0.35">
      <c r="M112" s="11"/>
      <c r="N112" s="11"/>
    </row>
    <row r="113" spans="13:14" ht="14.25" customHeight="1" x14ac:dyDescent="0.35">
      <c r="M113" s="11"/>
      <c r="N113" s="11"/>
    </row>
    <row r="114" spans="13:14" ht="14.25" customHeight="1" x14ac:dyDescent="0.35">
      <c r="M114" s="11"/>
      <c r="N114" s="11"/>
    </row>
    <row r="115" spans="13:14" ht="14.25" customHeight="1" x14ac:dyDescent="0.35">
      <c r="M115" s="11"/>
      <c r="N115" s="11"/>
    </row>
    <row r="116" spans="13:14" ht="14.25" customHeight="1" x14ac:dyDescent="0.35">
      <c r="M116" s="11"/>
      <c r="N116" s="11"/>
    </row>
    <row r="117" spans="13:14" ht="14.25" customHeight="1" x14ac:dyDescent="0.35">
      <c r="M117" s="11"/>
      <c r="N117" s="11"/>
    </row>
    <row r="118" spans="13:14" ht="14.25" customHeight="1" x14ac:dyDescent="0.35">
      <c r="M118" s="11"/>
      <c r="N118" s="11"/>
    </row>
    <row r="119" spans="13:14" ht="14.25" customHeight="1" x14ac:dyDescent="0.35">
      <c r="M119" s="11"/>
      <c r="N119" s="11"/>
    </row>
    <row r="120" spans="13:14" ht="14.25" customHeight="1" x14ac:dyDescent="0.35">
      <c r="M120" s="11"/>
      <c r="N120" s="11"/>
    </row>
    <row r="121" spans="13:14" ht="14.25" customHeight="1" x14ac:dyDescent="0.35">
      <c r="M121" s="11"/>
      <c r="N121" s="11"/>
    </row>
    <row r="122" spans="13:14" ht="14.25" customHeight="1" x14ac:dyDescent="0.35">
      <c r="M122" s="11"/>
      <c r="N122" s="11"/>
    </row>
    <row r="123" spans="13:14" ht="14.25" customHeight="1" x14ac:dyDescent="0.35">
      <c r="M123" s="11"/>
      <c r="N123" s="11"/>
    </row>
    <row r="124" spans="13:14" ht="14.25" customHeight="1" x14ac:dyDescent="0.35">
      <c r="M124" s="11"/>
      <c r="N124" s="11"/>
    </row>
    <row r="125" spans="13:14" ht="14.25" customHeight="1" x14ac:dyDescent="0.35">
      <c r="M125" s="11"/>
      <c r="N125" s="11"/>
    </row>
    <row r="126" spans="13:14" ht="14.25" customHeight="1" x14ac:dyDescent="0.35">
      <c r="M126" s="11"/>
      <c r="N126" s="11"/>
    </row>
    <row r="127" spans="13:14" ht="14.25" customHeight="1" x14ac:dyDescent="0.35">
      <c r="M127" s="11"/>
      <c r="N127" s="11"/>
    </row>
    <row r="128" spans="13:14" ht="14.25" customHeight="1" x14ac:dyDescent="0.35">
      <c r="M128" s="11"/>
      <c r="N128" s="11"/>
    </row>
    <row r="129" spans="13:14" ht="14.25" customHeight="1" x14ac:dyDescent="0.35">
      <c r="M129" s="11"/>
      <c r="N129" s="11"/>
    </row>
    <row r="130" spans="13:14" ht="14.25" customHeight="1" x14ac:dyDescent="0.35">
      <c r="M130" s="11"/>
      <c r="N130" s="11"/>
    </row>
    <row r="131" spans="13:14" ht="14.25" customHeight="1" x14ac:dyDescent="0.35">
      <c r="M131" s="11"/>
      <c r="N131" s="11"/>
    </row>
    <row r="132" spans="13:14" ht="14.25" customHeight="1" x14ac:dyDescent="0.35">
      <c r="M132" s="11"/>
      <c r="N132" s="11"/>
    </row>
    <row r="133" spans="13:14" ht="14.25" customHeight="1" x14ac:dyDescent="0.35">
      <c r="M133" s="11"/>
      <c r="N133" s="11"/>
    </row>
    <row r="134" spans="13:14" ht="14.25" customHeight="1" x14ac:dyDescent="0.35">
      <c r="M134" s="11"/>
      <c r="N134" s="11"/>
    </row>
    <row r="135" spans="13:14" ht="14.25" customHeight="1" x14ac:dyDescent="0.35">
      <c r="M135" s="11"/>
      <c r="N135" s="11"/>
    </row>
    <row r="136" spans="13:14" ht="14.25" customHeight="1" x14ac:dyDescent="0.35">
      <c r="M136" s="11"/>
      <c r="N136" s="11"/>
    </row>
    <row r="137" spans="13:14" ht="14.25" customHeight="1" x14ac:dyDescent="0.35">
      <c r="M137" s="11"/>
      <c r="N137" s="11"/>
    </row>
    <row r="138" spans="13:14" ht="14.25" customHeight="1" x14ac:dyDescent="0.35">
      <c r="M138" s="11"/>
      <c r="N138" s="11"/>
    </row>
    <row r="139" spans="13:14" ht="14.25" customHeight="1" x14ac:dyDescent="0.35">
      <c r="M139" s="11"/>
      <c r="N139" s="11"/>
    </row>
    <row r="140" spans="13:14" ht="14.25" customHeight="1" x14ac:dyDescent="0.35">
      <c r="M140" s="11"/>
      <c r="N140" s="11"/>
    </row>
    <row r="141" spans="13:14" ht="14.25" customHeight="1" x14ac:dyDescent="0.35">
      <c r="M141" s="11"/>
      <c r="N141" s="11"/>
    </row>
    <row r="142" spans="13:14" ht="14.25" customHeight="1" x14ac:dyDescent="0.35">
      <c r="M142" s="11"/>
      <c r="N142" s="11"/>
    </row>
    <row r="143" spans="13:14" ht="14.25" customHeight="1" x14ac:dyDescent="0.35">
      <c r="M143" s="11"/>
      <c r="N143" s="11"/>
    </row>
    <row r="144" spans="13:14" ht="14.25" customHeight="1" x14ac:dyDescent="0.35">
      <c r="M144" s="11"/>
      <c r="N144" s="11"/>
    </row>
    <row r="145" spans="13:14" ht="14.25" customHeight="1" x14ac:dyDescent="0.35">
      <c r="M145" s="11"/>
      <c r="N145" s="11"/>
    </row>
    <row r="146" spans="13:14" ht="14.25" customHeight="1" x14ac:dyDescent="0.35">
      <c r="M146" s="11"/>
      <c r="N146" s="11"/>
    </row>
    <row r="147" spans="13:14" ht="14.25" customHeight="1" x14ac:dyDescent="0.35">
      <c r="M147" s="11"/>
      <c r="N147" s="11"/>
    </row>
    <row r="148" spans="13:14" ht="14.25" customHeight="1" x14ac:dyDescent="0.35">
      <c r="M148" s="11"/>
      <c r="N148" s="11"/>
    </row>
    <row r="149" spans="13:14" ht="14.25" customHeight="1" x14ac:dyDescent="0.35">
      <c r="M149" s="11"/>
      <c r="N149" s="11"/>
    </row>
    <row r="150" spans="13:14" ht="14.25" customHeight="1" x14ac:dyDescent="0.35">
      <c r="M150" s="11"/>
      <c r="N150" s="11"/>
    </row>
    <row r="151" spans="13:14" ht="14.25" customHeight="1" x14ac:dyDescent="0.35">
      <c r="M151" s="11"/>
      <c r="N151" s="11"/>
    </row>
    <row r="152" spans="13:14" ht="14.25" customHeight="1" x14ac:dyDescent="0.35">
      <c r="M152" s="11"/>
      <c r="N152" s="11"/>
    </row>
    <row r="153" spans="13:14" ht="14.25" customHeight="1" x14ac:dyDescent="0.35">
      <c r="M153" s="11"/>
      <c r="N153" s="11"/>
    </row>
    <row r="154" spans="13:14" ht="14.25" customHeight="1" x14ac:dyDescent="0.35">
      <c r="M154" s="11"/>
      <c r="N154" s="11"/>
    </row>
    <row r="155" spans="13:14" ht="14.25" customHeight="1" x14ac:dyDescent="0.35">
      <c r="M155" s="11"/>
      <c r="N155" s="11"/>
    </row>
    <row r="156" spans="13:14" ht="14.25" customHeight="1" x14ac:dyDescent="0.35">
      <c r="M156" s="11"/>
      <c r="N156" s="11"/>
    </row>
    <row r="157" spans="13:14" ht="14.25" customHeight="1" x14ac:dyDescent="0.35">
      <c r="M157" s="11"/>
      <c r="N157" s="11"/>
    </row>
    <row r="158" spans="13:14" ht="14.25" customHeight="1" x14ac:dyDescent="0.35">
      <c r="M158" s="11"/>
      <c r="N158" s="11"/>
    </row>
    <row r="159" spans="13:14" ht="14.25" customHeight="1" x14ac:dyDescent="0.35">
      <c r="M159" s="11"/>
      <c r="N159" s="11"/>
    </row>
    <row r="160" spans="13:14" ht="14.25" customHeight="1" x14ac:dyDescent="0.35">
      <c r="M160" s="11"/>
      <c r="N160" s="11"/>
    </row>
    <row r="161" spans="13:14" ht="14.25" customHeight="1" x14ac:dyDescent="0.35">
      <c r="M161" s="11"/>
      <c r="N161" s="11"/>
    </row>
    <row r="162" spans="13:14" ht="14.25" customHeight="1" x14ac:dyDescent="0.35">
      <c r="M162" s="11"/>
      <c r="N162" s="11"/>
    </row>
    <row r="163" spans="13:14" ht="14.25" customHeight="1" x14ac:dyDescent="0.35">
      <c r="M163" s="11"/>
      <c r="N163" s="11"/>
    </row>
    <row r="164" spans="13:14" ht="14.25" customHeight="1" x14ac:dyDescent="0.35">
      <c r="M164" s="11"/>
      <c r="N164" s="11"/>
    </row>
    <row r="165" spans="13:14" ht="14.25" customHeight="1" x14ac:dyDescent="0.35">
      <c r="M165" s="11"/>
      <c r="N165" s="11"/>
    </row>
    <row r="166" spans="13:14" ht="14.25" customHeight="1" x14ac:dyDescent="0.35">
      <c r="M166" s="11"/>
      <c r="N166" s="11"/>
    </row>
    <row r="167" spans="13:14" ht="14.25" customHeight="1" x14ac:dyDescent="0.35">
      <c r="M167" s="11"/>
      <c r="N167" s="11"/>
    </row>
    <row r="168" spans="13:14" ht="14.25" customHeight="1" x14ac:dyDescent="0.35">
      <c r="M168" s="11"/>
      <c r="N168" s="11"/>
    </row>
    <row r="169" spans="13:14" ht="14.25" customHeight="1" x14ac:dyDescent="0.35">
      <c r="M169" s="11"/>
      <c r="N169" s="11"/>
    </row>
    <row r="170" spans="13:14" ht="14.25" customHeight="1" x14ac:dyDescent="0.35">
      <c r="M170" s="11"/>
      <c r="N170" s="11"/>
    </row>
    <row r="171" spans="13:14" ht="14.25" customHeight="1" x14ac:dyDescent="0.35">
      <c r="M171" s="11"/>
      <c r="N171" s="11"/>
    </row>
    <row r="172" spans="13:14" ht="14.25" customHeight="1" x14ac:dyDescent="0.35">
      <c r="M172" s="11"/>
      <c r="N172" s="11"/>
    </row>
    <row r="173" spans="13:14" ht="14.25" customHeight="1" x14ac:dyDescent="0.35">
      <c r="M173" s="11"/>
      <c r="N173" s="11"/>
    </row>
    <row r="174" spans="13:14" ht="14.25" customHeight="1" x14ac:dyDescent="0.35">
      <c r="M174" s="11"/>
      <c r="N174" s="11"/>
    </row>
    <row r="175" spans="13:14" ht="14.25" customHeight="1" x14ac:dyDescent="0.35">
      <c r="M175" s="11"/>
      <c r="N175" s="11"/>
    </row>
    <row r="176" spans="13:14" ht="14.25" customHeight="1" x14ac:dyDescent="0.35">
      <c r="M176" s="11"/>
      <c r="N176" s="11"/>
    </row>
    <row r="177" spans="13:14" ht="14.25" customHeight="1" x14ac:dyDescent="0.35">
      <c r="M177" s="11"/>
      <c r="N177" s="11"/>
    </row>
    <row r="178" spans="13:14" ht="14.25" customHeight="1" x14ac:dyDescent="0.35">
      <c r="M178" s="11"/>
      <c r="N178" s="11"/>
    </row>
    <row r="179" spans="13:14" ht="14.25" customHeight="1" x14ac:dyDescent="0.35">
      <c r="M179" s="11"/>
      <c r="N179" s="11"/>
    </row>
    <row r="180" spans="13:14" ht="14.25" customHeight="1" x14ac:dyDescent="0.35">
      <c r="M180" s="11"/>
      <c r="N180" s="11"/>
    </row>
    <row r="181" spans="13:14" ht="14.25" customHeight="1" x14ac:dyDescent="0.35">
      <c r="M181" s="11"/>
      <c r="N181" s="11"/>
    </row>
    <row r="182" spans="13:14" ht="14.25" customHeight="1" x14ac:dyDescent="0.35">
      <c r="M182" s="11"/>
      <c r="N182" s="11"/>
    </row>
    <row r="183" spans="13:14" ht="14.25" customHeight="1" x14ac:dyDescent="0.35">
      <c r="M183" s="11"/>
      <c r="N183" s="11"/>
    </row>
    <row r="184" spans="13:14" ht="14.25" customHeight="1" x14ac:dyDescent="0.35">
      <c r="M184" s="11"/>
      <c r="N184" s="11"/>
    </row>
    <row r="185" spans="13:14" ht="14.25" customHeight="1" x14ac:dyDescent="0.35">
      <c r="M185" s="11"/>
      <c r="N185" s="11"/>
    </row>
    <row r="186" spans="13:14" ht="14.25" customHeight="1" x14ac:dyDescent="0.35">
      <c r="M186" s="11"/>
      <c r="N186" s="11"/>
    </row>
    <row r="187" spans="13:14" ht="14.25" customHeight="1" x14ac:dyDescent="0.35">
      <c r="M187" s="11"/>
      <c r="N187" s="11"/>
    </row>
    <row r="188" spans="13:14" ht="14.25" customHeight="1" x14ac:dyDescent="0.35">
      <c r="M188" s="11"/>
      <c r="N188" s="11"/>
    </row>
    <row r="189" spans="13:14" ht="14.25" customHeight="1" x14ac:dyDescent="0.35">
      <c r="M189" s="11"/>
      <c r="N189" s="11"/>
    </row>
    <row r="190" spans="13:14" ht="14.25" customHeight="1" x14ac:dyDescent="0.35">
      <c r="M190" s="11"/>
      <c r="N190" s="11"/>
    </row>
    <row r="191" spans="13:14" ht="14.25" customHeight="1" x14ac:dyDescent="0.35">
      <c r="M191" s="11"/>
      <c r="N191" s="11"/>
    </row>
    <row r="192" spans="13:14" ht="14.25" customHeight="1" x14ac:dyDescent="0.35">
      <c r="M192" s="11"/>
      <c r="N192" s="11"/>
    </row>
    <row r="193" spans="13:14" ht="14.25" customHeight="1" x14ac:dyDescent="0.35">
      <c r="M193" s="11"/>
      <c r="N193" s="11"/>
    </row>
    <row r="194" spans="13:14" ht="14.25" customHeight="1" x14ac:dyDescent="0.35">
      <c r="M194" s="11"/>
      <c r="N194" s="11"/>
    </row>
    <row r="195" spans="13:14" ht="14.25" customHeight="1" x14ac:dyDescent="0.35">
      <c r="M195" s="11"/>
      <c r="N195" s="11"/>
    </row>
    <row r="196" spans="13:14" ht="14.25" customHeight="1" x14ac:dyDescent="0.35">
      <c r="M196" s="11"/>
      <c r="N196" s="11"/>
    </row>
    <row r="197" spans="13:14" ht="14.25" customHeight="1" x14ac:dyDescent="0.35">
      <c r="M197" s="11"/>
      <c r="N197" s="11"/>
    </row>
    <row r="198" spans="13:14" ht="14.25" customHeight="1" x14ac:dyDescent="0.35">
      <c r="M198" s="11"/>
      <c r="N198" s="11"/>
    </row>
    <row r="199" spans="13:14" ht="14.25" customHeight="1" x14ac:dyDescent="0.35">
      <c r="M199" s="11"/>
      <c r="N199" s="11"/>
    </row>
    <row r="200" spans="13:14" ht="14.25" customHeight="1" x14ac:dyDescent="0.35">
      <c r="M200" s="11"/>
      <c r="N200" s="11"/>
    </row>
    <row r="201" spans="13:14" ht="14.25" customHeight="1" x14ac:dyDescent="0.35">
      <c r="M201" s="11"/>
      <c r="N201" s="11"/>
    </row>
    <row r="202" spans="13:14" ht="14.25" customHeight="1" x14ac:dyDescent="0.35">
      <c r="M202" s="11"/>
      <c r="N202" s="11"/>
    </row>
    <row r="203" spans="13:14" ht="14.25" customHeight="1" x14ac:dyDescent="0.35">
      <c r="M203" s="11"/>
      <c r="N203" s="11"/>
    </row>
    <row r="204" spans="13:14" ht="14.25" customHeight="1" x14ac:dyDescent="0.35">
      <c r="M204" s="11"/>
      <c r="N204" s="11"/>
    </row>
    <row r="205" spans="13:14" ht="14.25" customHeight="1" x14ac:dyDescent="0.35">
      <c r="M205" s="11"/>
      <c r="N205" s="11"/>
    </row>
    <row r="206" spans="13:14" ht="14.25" customHeight="1" x14ac:dyDescent="0.35">
      <c r="M206" s="11"/>
      <c r="N206" s="11"/>
    </row>
    <row r="207" spans="13:14" ht="14.25" customHeight="1" x14ac:dyDescent="0.35">
      <c r="M207" s="11"/>
      <c r="N207" s="11"/>
    </row>
    <row r="208" spans="13:14" ht="14.25" customHeight="1" x14ac:dyDescent="0.35">
      <c r="M208" s="11"/>
      <c r="N208" s="11"/>
    </row>
    <row r="209" spans="13:14" ht="14.25" customHeight="1" x14ac:dyDescent="0.35">
      <c r="M209" s="11"/>
      <c r="N209" s="11"/>
    </row>
    <row r="210" spans="13:14" ht="14.25" customHeight="1" x14ac:dyDescent="0.35">
      <c r="M210" s="11"/>
      <c r="N210" s="11"/>
    </row>
    <row r="211" spans="13:14" ht="14.25" customHeight="1" x14ac:dyDescent="0.35">
      <c r="M211" s="11"/>
      <c r="N211" s="11"/>
    </row>
    <row r="212" spans="13:14" ht="14.25" customHeight="1" x14ac:dyDescent="0.35">
      <c r="M212" s="11"/>
      <c r="N212" s="11"/>
    </row>
    <row r="213" spans="13:14" ht="14.25" customHeight="1" x14ac:dyDescent="0.35">
      <c r="M213" s="11"/>
      <c r="N213" s="11"/>
    </row>
    <row r="214" spans="13:14" ht="14.25" customHeight="1" x14ac:dyDescent="0.35">
      <c r="M214" s="11"/>
      <c r="N214" s="11"/>
    </row>
    <row r="215" spans="13:14" ht="14.25" customHeight="1" x14ac:dyDescent="0.35">
      <c r="M215" s="11"/>
      <c r="N215" s="11"/>
    </row>
    <row r="216" spans="13:14" ht="14.25" customHeight="1" x14ac:dyDescent="0.35">
      <c r="M216" s="11"/>
      <c r="N216" s="11"/>
    </row>
    <row r="217" spans="13:14" ht="14.25" customHeight="1" x14ac:dyDescent="0.35">
      <c r="M217" s="11"/>
      <c r="N217" s="11"/>
    </row>
    <row r="218" spans="13:14" ht="14.25" customHeight="1" x14ac:dyDescent="0.35">
      <c r="M218" s="11"/>
      <c r="N218" s="11"/>
    </row>
    <row r="219" spans="13:14" ht="14.25" customHeight="1" x14ac:dyDescent="0.35">
      <c r="M219" s="11"/>
      <c r="N219" s="11"/>
    </row>
    <row r="220" spans="13:14" ht="14.25" customHeight="1" x14ac:dyDescent="0.35">
      <c r="M220" s="11"/>
      <c r="N220" s="11"/>
    </row>
    <row r="221" spans="13:14" ht="14.25" customHeight="1" x14ac:dyDescent="0.35">
      <c r="M221" s="11"/>
      <c r="N221" s="11"/>
    </row>
    <row r="222" spans="13:14" ht="14.25" customHeight="1" x14ac:dyDescent="0.35">
      <c r="M222" s="11"/>
      <c r="N222" s="11"/>
    </row>
    <row r="223" spans="13:14" ht="14.25" customHeight="1" x14ac:dyDescent="0.35">
      <c r="M223" s="11"/>
      <c r="N223" s="11"/>
    </row>
    <row r="224" spans="13:14" ht="14.25" customHeight="1" x14ac:dyDescent="0.35">
      <c r="M224" s="11"/>
      <c r="N224" s="11"/>
    </row>
    <row r="225" spans="13:14" ht="14.25" customHeight="1" x14ac:dyDescent="0.35">
      <c r="M225" s="11"/>
      <c r="N225" s="11"/>
    </row>
    <row r="226" spans="13:14" ht="14.25" customHeight="1" x14ac:dyDescent="0.35">
      <c r="M226" s="11"/>
      <c r="N226" s="11"/>
    </row>
    <row r="227" spans="13:14" ht="14.25" customHeight="1" x14ac:dyDescent="0.35">
      <c r="M227" s="11"/>
      <c r="N227" s="11"/>
    </row>
    <row r="228" spans="13:14" ht="14.25" customHeight="1" x14ac:dyDescent="0.35">
      <c r="M228" s="11"/>
      <c r="N228" s="11"/>
    </row>
    <row r="229" spans="13:14" ht="14.25" customHeight="1" x14ac:dyDescent="0.35">
      <c r="M229" s="11"/>
      <c r="N229" s="11"/>
    </row>
    <row r="230" spans="13:14" ht="14.25" customHeight="1" x14ac:dyDescent="0.35">
      <c r="M230" s="11"/>
      <c r="N230" s="11"/>
    </row>
    <row r="231" spans="13:14" ht="14.25" customHeight="1" x14ac:dyDescent="0.35">
      <c r="M231" s="11"/>
      <c r="N231" s="11"/>
    </row>
    <row r="232" spans="13:14" ht="14.25" customHeight="1" x14ac:dyDescent="0.35">
      <c r="M232" s="11"/>
      <c r="N232" s="11"/>
    </row>
    <row r="233" spans="13:14" ht="14.25" customHeight="1" x14ac:dyDescent="0.35">
      <c r="M233" s="11"/>
      <c r="N233" s="11"/>
    </row>
    <row r="234" spans="13:14" ht="14.25" customHeight="1" x14ac:dyDescent="0.35">
      <c r="M234" s="11"/>
      <c r="N234" s="11"/>
    </row>
    <row r="235" spans="13:14" ht="14.25" customHeight="1" x14ac:dyDescent="0.35">
      <c r="M235" s="11"/>
      <c r="N235" s="11"/>
    </row>
    <row r="236" spans="13:14" ht="14.25" customHeight="1" x14ac:dyDescent="0.35">
      <c r="M236" s="11"/>
      <c r="N236" s="11"/>
    </row>
    <row r="237" spans="13:14" ht="14.25" customHeight="1" x14ac:dyDescent="0.35">
      <c r="M237" s="11"/>
      <c r="N237" s="11"/>
    </row>
    <row r="238" spans="13:14" ht="14.25" customHeight="1" x14ac:dyDescent="0.35">
      <c r="M238" s="11"/>
      <c r="N238" s="11"/>
    </row>
    <row r="239" spans="13:14" ht="14.25" customHeight="1" x14ac:dyDescent="0.35">
      <c r="M239" s="11"/>
      <c r="N239" s="11"/>
    </row>
    <row r="240" spans="13:14" ht="14.25" customHeight="1" x14ac:dyDescent="0.35">
      <c r="M240" s="11"/>
      <c r="N240" s="11"/>
    </row>
    <row r="241" spans="13:14" ht="14.25" customHeight="1" x14ac:dyDescent="0.35">
      <c r="M241" s="11"/>
      <c r="N241" s="11"/>
    </row>
    <row r="242" spans="13:14" ht="14.25" customHeight="1" x14ac:dyDescent="0.35">
      <c r="M242" s="11"/>
      <c r="N242" s="11"/>
    </row>
    <row r="243" spans="13:14" ht="14.25" customHeight="1" x14ac:dyDescent="0.35">
      <c r="M243" s="11"/>
      <c r="N243" s="11"/>
    </row>
    <row r="244" spans="13:14" ht="14.25" customHeight="1" x14ac:dyDescent="0.35">
      <c r="M244" s="11"/>
      <c r="N244" s="11"/>
    </row>
    <row r="245" spans="13:14" ht="14.25" customHeight="1" x14ac:dyDescent="0.35">
      <c r="M245" s="11"/>
      <c r="N245" s="11"/>
    </row>
    <row r="246" spans="13:14" ht="14.25" customHeight="1" x14ac:dyDescent="0.35">
      <c r="M246" s="11"/>
      <c r="N246" s="11"/>
    </row>
    <row r="247" spans="13:14" ht="14.25" customHeight="1" x14ac:dyDescent="0.35">
      <c r="M247" s="11"/>
      <c r="N247" s="11"/>
    </row>
    <row r="248" spans="13:14" ht="14.25" customHeight="1" x14ac:dyDescent="0.35">
      <c r="M248" s="11"/>
      <c r="N248" s="11"/>
    </row>
    <row r="249" spans="13:14" ht="14.25" customHeight="1" x14ac:dyDescent="0.35">
      <c r="M249" s="11"/>
      <c r="N249" s="11"/>
    </row>
    <row r="250" spans="13:14" ht="14.25" customHeight="1" x14ac:dyDescent="0.35">
      <c r="M250" s="11"/>
      <c r="N250" s="11"/>
    </row>
    <row r="251" spans="13:14" ht="14.25" customHeight="1" x14ac:dyDescent="0.35">
      <c r="M251" s="11"/>
      <c r="N251" s="11"/>
    </row>
    <row r="252" spans="13:14" ht="14.25" customHeight="1" x14ac:dyDescent="0.35">
      <c r="M252" s="11"/>
      <c r="N252" s="11"/>
    </row>
    <row r="253" spans="13:14" ht="14.25" customHeight="1" x14ac:dyDescent="0.35">
      <c r="M253" s="11"/>
      <c r="N253" s="11"/>
    </row>
    <row r="254" spans="13:14" ht="14.25" customHeight="1" x14ac:dyDescent="0.35">
      <c r="M254" s="11"/>
      <c r="N254" s="11"/>
    </row>
    <row r="255" spans="13:14" ht="14.25" customHeight="1" x14ac:dyDescent="0.35">
      <c r="M255" s="11"/>
      <c r="N255" s="11"/>
    </row>
    <row r="256" spans="13:14" ht="14.25" customHeight="1" x14ac:dyDescent="0.35">
      <c r="M256" s="11"/>
      <c r="N256" s="11"/>
    </row>
    <row r="257" spans="13:14" ht="14.25" customHeight="1" x14ac:dyDescent="0.35">
      <c r="M257" s="11"/>
      <c r="N257" s="11"/>
    </row>
    <row r="258" spans="13:14" ht="14.25" customHeight="1" x14ac:dyDescent="0.35">
      <c r="M258" s="11"/>
      <c r="N258" s="11"/>
    </row>
    <row r="259" spans="13:14" ht="14.25" customHeight="1" x14ac:dyDescent="0.35">
      <c r="M259" s="11"/>
      <c r="N259" s="11"/>
    </row>
    <row r="260" spans="13:14" ht="14.25" customHeight="1" x14ac:dyDescent="0.35">
      <c r="M260" s="11"/>
      <c r="N260" s="11"/>
    </row>
    <row r="261" spans="13:14" ht="14.25" customHeight="1" x14ac:dyDescent="0.35">
      <c r="M261" s="11"/>
      <c r="N261" s="11"/>
    </row>
    <row r="262" spans="13:14" ht="14.25" customHeight="1" x14ac:dyDescent="0.35">
      <c r="M262" s="11"/>
      <c r="N262" s="11"/>
    </row>
    <row r="263" spans="13:14" ht="14.25" customHeight="1" x14ac:dyDescent="0.35">
      <c r="M263" s="11"/>
      <c r="N263" s="11"/>
    </row>
    <row r="264" spans="13:14" ht="14.25" customHeight="1" x14ac:dyDescent="0.35">
      <c r="M264" s="11"/>
      <c r="N264" s="11"/>
    </row>
    <row r="265" spans="13:14" ht="14.25" customHeight="1" x14ac:dyDescent="0.35">
      <c r="M265" s="11"/>
      <c r="N265" s="11"/>
    </row>
    <row r="266" spans="13:14" ht="14.25" customHeight="1" x14ac:dyDescent="0.35">
      <c r="M266" s="11"/>
      <c r="N266" s="11"/>
    </row>
    <row r="267" spans="13:14" ht="14.25" customHeight="1" x14ac:dyDescent="0.35">
      <c r="M267" s="11"/>
      <c r="N267" s="11"/>
    </row>
    <row r="268" spans="13:14" ht="14.25" customHeight="1" x14ac:dyDescent="0.35">
      <c r="M268" s="11"/>
      <c r="N268" s="11"/>
    </row>
    <row r="269" spans="13:14" ht="14.25" customHeight="1" x14ac:dyDescent="0.35">
      <c r="M269" s="11"/>
      <c r="N269" s="11"/>
    </row>
    <row r="270" spans="13:14" ht="14.25" customHeight="1" x14ac:dyDescent="0.35">
      <c r="M270" s="11"/>
      <c r="N270" s="11"/>
    </row>
    <row r="271" spans="13:14" ht="14.25" customHeight="1" x14ac:dyDescent="0.35">
      <c r="M271" s="11"/>
      <c r="N271" s="11"/>
    </row>
    <row r="272" spans="13:14" ht="14.25" customHeight="1" x14ac:dyDescent="0.35">
      <c r="M272" s="11"/>
      <c r="N272" s="11"/>
    </row>
    <row r="273" spans="13:14" ht="14.25" customHeight="1" x14ac:dyDescent="0.35">
      <c r="M273" s="11"/>
      <c r="N273" s="11"/>
    </row>
    <row r="274" spans="13:14" ht="14.25" customHeight="1" x14ac:dyDescent="0.35">
      <c r="M274" s="11"/>
      <c r="N274" s="11"/>
    </row>
    <row r="275" spans="13:14" ht="14.25" customHeight="1" x14ac:dyDescent="0.35">
      <c r="M275" s="11"/>
      <c r="N275" s="11"/>
    </row>
    <row r="276" spans="13:14" ht="14.25" customHeight="1" x14ac:dyDescent="0.35">
      <c r="M276" s="11"/>
      <c r="N276" s="11"/>
    </row>
    <row r="277" spans="13:14" ht="14.25" customHeight="1" x14ac:dyDescent="0.35">
      <c r="M277" s="11"/>
      <c r="N277" s="11"/>
    </row>
    <row r="278" spans="13:14" ht="14.25" customHeight="1" x14ac:dyDescent="0.35">
      <c r="M278" s="11"/>
      <c r="N278" s="11"/>
    </row>
    <row r="279" spans="13:14" ht="14.25" customHeight="1" x14ac:dyDescent="0.35">
      <c r="M279" s="11"/>
      <c r="N279" s="11"/>
    </row>
    <row r="280" spans="13:14" ht="14.25" customHeight="1" x14ac:dyDescent="0.35">
      <c r="M280" s="11"/>
      <c r="N280" s="11"/>
    </row>
    <row r="281" spans="13:14" ht="14.25" customHeight="1" x14ac:dyDescent="0.35">
      <c r="M281" s="11"/>
      <c r="N281" s="11"/>
    </row>
    <row r="282" spans="13:14" ht="14.25" customHeight="1" x14ac:dyDescent="0.35">
      <c r="M282" s="11"/>
      <c r="N282" s="11"/>
    </row>
    <row r="283" spans="13:14" ht="14.25" customHeight="1" x14ac:dyDescent="0.35">
      <c r="M283" s="11"/>
      <c r="N283" s="11"/>
    </row>
    <row r="284" spans="13:14" ht="14.25" customHeight="1" x14ac:dyDescent="0.35">
      <c r="M284" s="11"/>
      <c r="N284" s="11"/>
    </row>
    <row r="285" spans="13:14" ht="14.25" customHeight="1" x14ac:dyDescent="0.35">
      <c r="M285" s="11"/>
      <c r="N285" s="11"/>
    </row>
    <row r="286" spans="13:14" ht="14.25" customHeight="1" x14ac:dyDescent="0.35">
      <c r="M286" s="11"/>
      <c r="N286" s="11"/>
    </row>
    <row r="287" spans="13:14" ht="14.25" customHeight="1" x14ac:dyDescent="0.35">
      <c r="M287" s="11"/>
      <c r="N287" s="11"/>
    </row>
    <row r="288" spans="13:14" ht="14.25" customHeight="1" x14ac:dyDescent="0.35">
      <c r="M288" s="11"/>
      <c r="N288" s="11"/>
    </row>
    <row r="289" spans="13:14" ht="14.25" customHeight="1" x14ac:dyDescent="0.35">
      <c r="M289" s="11"/>
      <c r="N289" s="11"/>
    </row>
    <row r="290" spans="13:14" ht="14.25" customHeight="1" x14ac:dyDescent="0.35">
      <c r="M290" s="11"/>
      <c r="N290" s="11"/>
    </row>
    <row r="291" spans="13:14" ht="14.25" customHeight="1" x14ac:dyDescent="0.35">
      <c r="M291" s="11"/>
      <c r="N291" s="11"/>
    </row>
    <row r="292" spans="13:14" ht="14.25" customHeight="1" x14ac:dyDescent="0.35">
      <c r="M292" s="11"/>
      <c r="N292" s="11"/>
    </row>
    <row r="293" spans="13:14" ht="14.25" customHeight="1" x14ac:dyDescent="0.35">
      <c r="M293" s="11"/>
      <c r="N293" s="11"/>
    </row>
    <row r="294" spans="13:14" ht="14.25" customHeight="1" x14ac:dyDescent="0.35">
      <c r="M294" s="11"/>
      <c r="N294" s="11"/>
    </row>
    <row r="295" spans="13:14" ht="14.25" customHeight="1" x14ac:dyDescent="0.35">
      <c r="M295" s="11"/>
      <c r="N295" s="11"/>
    </row>
    <row r="296" spans="13:14" ht="14.25" customHeight="1" x14ac:dyDescent="0.35">
      <c r="M296" s="11"/>
      <c r="N296" s="11"/>
    </row>
    <row r="297" spans="13:14" ht="14.25" customHeight="1" x14ac:dyDescent="0.35">
      <c r="M297" s="11"/>
      <c r="N297" s="11"/>
    </row>
    <row r="298" spans="13:14" ht="14.25" customHeight="1" x14ac:dyDescent="0.35">
      <c r="M298" s="11"/>
      <c r="N298" s="11"/>
    </row>
    <row r="299" spans="13:14" ht="14.25" customHeight="1" x14ac:dyDescent="0.35">
      <c r="M299" s="11"/>
      <c r="N299" s="11"/>
    </row>
    <row r="300" spans="13:14" ht="14.25" customHeight="1" x14ac:dyDescent="0.35">
      <c r="M300" s="11"/>
      <c r="N300" s="11"/>
    </row>
    <row r="301" spans="13:14" ht="14.25" customHeight="1" x14ac:dyDescent="0.35">
      <c r="M301" s="11"/>
      <c r="N301" s="11"/>
    </row>
    <row r="302" spans="13:14" ht="14.25" customHeight="1" x14ac:dyDescent="0.35">
      <c r="M302" s="11"/>
      <c r="N302" s="11"/>
    </row>
    <row r="303" spans="13:14" ht="14.25" customHeight="1" x14ac:dyDescent="0.35">
      <c r="M303" s="11"/>
      <c r="N303" s="11"/>
    </row>
    <row r="304" spans="13:14" ht="14.25" customHeight="1" x14ac:dyDescent="0.35">
      <c r="M304" s="11"/>
      <c r="N304" s="11"/>
    </row>
    <row r="305" spans="13:14" ht="14.25" customHeight="1" x14ac:dyDescent="0.35">
      <c r="M305" s="11"/>
      <c r="N305" s="11"/>
    </row>
    <row r="306" spans="13:14" ht="14.25" customHeight="1" x14ac:dyDescent="0.35">
      <c r="M306" s="11"/>
      <c r="N306" s="11"/>
    </row>
    <row r="307" spans="13:14" ht="14.25" customHeight="1" x14ac:dyDescent="0.35">
      <c r="M307" s="11"/>
      <c r="N307" s="11"/>
    </row>
    <row r="308" spans="13:14" ht="14.25" customHeight="1" x14ac:dyDescent="0.35">
      <c r="M308" s="11"/>
      <c r="N308" s="11"/>
    </row>
    <row r="309" spans="13:14" ht="14.25" customHeight="1" x14ac:dyDescent="0.35">
      <c r="M309" s="11"/>
      <c r="N309" s="11"/>
    </row>
    <row r="310" spans="13:14" ht="14.25" customHeight="1" x14ac:dyDescent="0.35">
      <c r="M310" s="11"/>
      <c r="N310" s="11"/>
    </row>
    <row r="311" spans="13:14" ht="14.25" customHeight="1" x14ac:dyDescent="0.35">
      <c r="M311" s="11"/>
      <c r="N311" s="11"/>
    </row>
    <row r="312" spans="13:14" ht="14.25" customHeight="1" x14ac:dyDescent="0.35">
      <c r="M312" s="11"/>
      <c r="N312" s="11"/>
    </row>
    <row r="313" spans="13:14" ht="14.25" customHeight="1" x14ac:dyDescent="0.35">
      <c r="M313" s="11"/>
      <c r="N313" s="11"/>
    </row>
    <row r="314" spans="13:14" ht="14.25" customHeight="1" x14ac:dyDescent="0.35">
      <c r="M314" s="11"/>
      <c r="N314" s="11"/>
    </row>
    <row r="315" spans="13:14" ht="14.25" customHeight="1" x14ac:dyDescent="0.35">
      <c r="M315" s="11"/>
      <c r="N315" s="11"/>
    </row>
    <row r="316" spans="13:14" ht="14.25" customHeight="1" x14ac:dyDescent="0.35">
      <c r="M316" s="11"/>
      <c r="N316" s="11"/>
    </row>
    <row r="317" spans="13:14" ht="14.25" customHeight="1" x14ac:dyDescent="0.35">
      <c r="M317" s="11"/>
      <c r="N317" s="11"/>
    </row>
    <row r="318" spans="13:14" ht="14.25" customHeight="1" x14ac:dyDescent="0.35">
      <c r="M318" s="11"/>
      <c r="N318" s="11"/>
    </row>
    <row r="319" spans="13:14" ht="14.25" customHeight="1" x14ac:dyDescent="0.35">
      <c r="M319" s="11"/>
      <c r="N319" s="11"/>
    </row>
    <row r="320" spans="13:14" ht="14.25" customHeight="1" x14ac:dyDescent="0.35">
      <c r="M320" s="11"/>
      <c r="N320" s="11"/>
    </row>
    <row r="321" spans="13:14" ht="14.25" customHeight="1" x14ac:dyDescent="0.35">
      <c r="M321" s="11"/>
      <c r="N321" s="11"/>
    </row>
    <row r="322" spans="13:14" ht="14.25" customHeight="1" x14ac:dyDescent="0.35">
      <c r="M322" s="11"/>
      <c r="N322" s="11"/>
    </row>
    <row r="323" spans="13:14" ht="14.25" customHeight="1" x14ac:dyDescent="0.35">
      <c r="M323" s="11"/>
      <c r="N323" s="11"/>
    </row>
    <row r="324" spans="13:14" ht="14.25" customHeight="1" x14ac:dyDescent="0.35">
      <c r="M324" s="11"/>
      <c r="N324" s="11"/>
    </row>
    <row r="325" spans="13:14" ht="14.25" customHeight="1" x14ac:dyDescent="0.35">
      <c r="M325" s="11"/>
      <c r="N325" s="11"/>
    </row>
    <row r="326" spans="13:14" ht="14.25" customHeight="1" x14ac:dyDescent="0.35">
      <c r="M326" s="11"/>
      <c r="N326" s="11"/>
    </row>
    <row r="327" spans="13:14" ht="14.25" customHeight="1" x14ac:dyDescent="0.35">
      <c r="M327" s="11"/>
      <c r="N327" s="11"/>
    </row>
    <row r="328" spans="13:14" ht="14.25" customHeight="1" x14ac:dyDescent="0.35">
      <c r="M328" s="11"/>
      <c r="N328" s="11"/>
    </row>
    <row r="329" spans="13:14" ht="14.25" customHeight="1" x14ac:dyDescent="0.35">
      <c r="M329" s="11"/>
      <c r="N329" s="11"/>
    </row>
    <row r="330" spans="13:14" ht="14.25" customHeight="1" x14ac:dyDescent="0.35">
      <c r="M330" s="11"/>
      <c r="N330" s="11"/>
    </row>
    <row r="331" spans="13:14" ht="14.25" customHeight="1" x14ac:dyDescent="0.35">
      <c r="M331" s="11"/>
      <c r="N331" s="11"/>
    </row>
    <row r="332" spans="13:14" ht="14.25" customHeight="1" x14ac:dyDescent="0.35">
      <c r="M332" s="11"/>
      <c r="N332" s="11"/>
    </row>
    <row r="333" spans="13:14" ht="14.25" customHeight="1" x14ac:dyDescent="0.35">
      <c r="M333" s="11"/>
      <c r="N333" s="11"/>
    </row>
    <row r="334" spans="13:14" ht="14.25" customHeight="1" x14ac:dyDescent="0.35">
      <c r="M334" s="11"/>
      <c r="N334" s="11"/>
    </row>
    <row r="335" spans="13:14" ht="14.25" customHeight="1" x14ac:dyDescent="0.35">
      <c r="M335" s="11"/>
      <c r="N335" s="11"/>
    </row>
    <row r="336" spans="13:14" ht="14.25" customHeight="1" x14ac:dyDescent="0.35">
      <c r="M336" s="11"/>
      <c r="N336" s="11"/>
    </row>
    <row r="337" spans="13:14" ht="14.25" customHeight="1" x14ac:dyDescent="0.35">
      <c r="M337" s="11"/>
      <c r="N337" s="11"/>
    </row>
    <row r="338" spans="13:14" ht="14.25" customHeight="1" x14ac:dyDescent="0.35">
      <c r="M338" s="11"/>
      <c r="N338" s="11"/>
    </row>
    <row r="339" spans="13:14" ht="14.25" customHeight="1" x14ac:dyDescent="0.35">
      <c r="M339" s="11"/>
      <c r="N339" s="11"/>
    </row>
    <row r="340" spans="13:14" ht="14.25" customHeight="1" x14ac:dyDescent="0.35">
      <c r="M340" s="11"/>
      <c r="N340" s="11"/>
    </row>
    <row r="341" spans="13:14" ht="14.25" customHeight="1" x14ac:dyDescent="0.35">
      <c r="M341" s="11"/>
      <c r="N341" s="11"/>
    </row>
    <row r="342" spans="13:14" ht="14.25" customHeight="1" x14ac:dyDescent="0.35">
      <c r="M342" s="11"/>
      <c r="N342" s="11"/>
    </row>
    <row r="343" spans="13:14" ht="14.25" customHeight="1" x14ac:dyDescent="0.35">
      <c r="M343" s="11"/>
      <c r="N343" s="11"/>
    </row>
    <row r="344" spans="13:14" ht="14.25" customHeight="1" x14ac:dyDescent="0.35">
      <c r="M344" s="11"/>
      <c r="N344" s="11"/>
    </row>
    <row r="345" spans="13:14" ht="14.25" customHeight="1" x14ac:dyDescent="0.35">
      <c r="M345" s="11"/>
      <c r="N345" s="11"/>
    </row>
    <row r="346" spans="13:14" ht="14.25" customHeight="1" x14ac:dyDescent="0.35">
      <c r="M346" s="11"/>
      <c r="N346" s="11"/>
    </row>
    <row r="347" spans="13:14" ht="14.25" customHeight="1" x14ac:dyDescent="0.35">
      <c r="M347" s="11"/>
      <c r="N347" s="11"/>
    </row>
    <row r="348" spans="13:14" ht="14.25" customHeight="1" x14ac:dyDescent="0.35">
      <c r="M348" s="11"/>
      <c r="N348" s="11"/>
    </row>
    <row r="349" spans="13:14" ht="14.25" customHeight="1" x14ac:dyDescent="0.35">
      <c r="M349" s="11"/>
      <c r="N349" s="11"/>
    </row>
    <row r="350" spans="13:14" ht="14.25" customHeight="1" x14ac:dyDescent="0.35">
      <c r="M350" s="11"/>
      <c r="N350" s="11"/>
    </row>
    <row r="351" spans="13:14" ht="14.25" customHeight="1" x14ac:dyDescent="0.35">
      <c r="M351" s="11"/>
      <c r="N351" s="11"/>
    </row>
    <row r="352" spans="13:14" ht="14.25" customHeight="1" x14ac:dyDescent="0.35">
      <c r="M352" s="11"/>
      <c r="N352" s="11"/>
    </row>
    <row r="353" spans="13:14" ht="14.25" customHeight="1" x14ac:dyDescent="0.35">
      <c r="M353" s="11"/>
      <c r="N353" s="11"/>
    </row>
    <row r="354" spans="13:14" ht="14.25" customHeight="1" x14ac:dyDescent="0.35">
      <c r="M354" s="11"/>
      <c r="N354" s="11"/>
    </row>
    <row r="355" spans="13:14" ht="14.25" customHeight="1" x14ac:dyDescent="0.35">
      <c r="M355" s="11"/>
      <c r="N355" s="11"/>
    </row>
    <row r="356" spans="13:14" ht="14.25" customHeight="1" x14ac:dyDescent="0.35">
      <c r="M356" s="11"/>
      <c r="N356" s="11"/>
    </row>
    <row r="357" spans="13:14" ht="14.25" customHeight="1" x14ac:dyDescent="0.35">
      <c r="M357" s="11"/>
      <c r="N357" s="11"/>
    </row>
    <row r="358" spans="13:14" ht="14.25" customHeight="1" x14ac:dyDescent="0.35">
      <c r="M358" s="11"/>
      <c r="N358" s="11"/>
    </row>
    <row r="359" spans="13:14" ht="14.25" customHeight="1" x14ac:dyDescent="0.35">
      <c r="M359" s="11"/>
      <c r="N359" s="11"/>
    </row>
    <row r="360" spans="13:14" ht="14.25" customHeight="1" x14ac:dyDescent="0.35">
      <c r="M360" s="11"/>
      <c r="N360" s="11"/>
    </row>
    <row r="361" spans="13:14" ht="14.25" customHeight="1" x14ac:dyDescent="0.35">
      <c r="M361" s="11"/>
      <c r="N361" s="11"/>
    </row>
    <row r="362" spans="13:14" ht="14.25" customHeight="1" x14ac:dyDescent="0.35">
      <c r="M362" s="11"/>
      <c r="N362" s="11"/>
    </row>
    <row r="363" spans="13:14" ht="14.25" customHeight="1" x14ac:dyDescent="0.35">
      <c r="M363" s="11"/>
      <c r="N363" s="11"/>
    </row>
    <row r="364" spans="13:14" ht="14.25" customHeight="1" x14ac:dyDescent="0.35">
      <c r="M364" s="11"/>
      <c r="N364" s="11"/>
    </row>
    <row r="365" spans="13:14" ht="14.25" customHeight="1" x14ac:dyDescent="0.35">
      <c r="M365" s="11"/>
      <c r="N365" s="11"/>
    </row>
    <row r="366" spans="13:14" ht="14.25" customHeight="1" x14ac:dyDescent="0.35">
      <c r="M366" s="11"/>
      <c r="N366" s="11"/>
    </row>
    <row r="367" spans="13:14" ht="14.25" customHeight="1" x14ac:dyDescent="0.35">
      <c r="M367" s="11"/>
      <c r="N367" s="11"/>
    </row>
    <row r="368" spans="13:14" ht="14.25" customHeight="1" x14ac:dyDescent="0.35">
      <c r="M368" s="11"/>
      <c r="N368" s="11"/>
    </row>
    <row r="369" spans="13:14" ht="14.25" customHeight="1" x14ac:dyDescent="0.35">
      <c r="M369" s="11"/>
      <c r="N369" s="11"/>
    </row>
    <row r="370" spans="13:14" ht="14.25" customHeight="1" x14ac:dyDescent="0.35">
      <c r="M370" s="11"/>
      <c r="N370" s="11"/>
    </row>
    <row r="371" spans="13:14" ht="14.25" customHeight="1" x14ac:dyDescent="0.35">
      <c r="M371" s="11"/>
      <c r="N371" s="11"/>
    </row>
    <row r="372" spans="13:14" ht="14.25" customHeight="1" x14ac:dyDescent="0.35">
      <c r="M372" s="11"/>
      <c r="N372" s="11"/>
    </row>
    <row r="373" spans="13:14" ht="14.25" customHeight="1" x14ac:dyDescent="0.35">
      <c r="M373" s="11"/>
      <c r="N373" s="11"/>
    </row>
    <row r="374" spans="13:14" ht="14.25" customHeight="1" x14ac:dyDescent="0.35">
      <c r="M374" s="11"/>
      <c r="N374" s="11"/>
    </row>
    <row r="375" spans="13:14" ht="14.25" customHeight="1" x14ac:dyDescent="0.35">
      <c r="M375" s="11"/>
      <c r="N375" s="11"/>
    </row>
    <row r="376" spans="13:14" ht="14.25" customHeight="1" x14ac:dyDescent="0.35">
      <c r="M376" s="11"/>
      <c r="N376" s="11"/>
    </row>
    <row r="377" spans="13:14" ht="14.25" customHeight="1" x14ac:dyDescent="0.35">
      <c r="M377" s="11"/>
      <c r="N377" s="11"/>
    </row>
    <row r="378" spans="13:14" ht="14.25" customHeight="1" x14ac:dyDescent="0.35">
      <c r="M378" s="11"/>
      <c r="N378" s="11"/>
    </row>
    <row r="379" spans="13:14" ht="14.25" customHeight="1" x14ac:dyDescent="0.35">
      <c r="M379" s="11"/>
      <c r="N379" s="11"/>
    </row>
    <row r="380" spans="13:14" ht="14.25" customHeight="1" x14ac:dyDescent="0.35">
      <c r="M380" s="11"/>
      <c r="N380" s="11"/>
    </row>
    <row r="381" spans="13:14" ht="14.25" customHeight="1" x14ac:dyDescent="0.35">
      <c r="M381" s="11"/>
      <c r="N381" s="11"/>
    </row>
    <row r="382" spans="13:14" ht="14.25" customHeight="1" x14ac:dyDescent="0.35">
      <c r="M382" s="11"/>
      <c r="N382" s="11"/>
    </row>
    <row r="383" spans="13:14" ht="14.25" customHeight="1" x14ac:dyDescent="0.35">
      <c r="M383" s="11"/>
      <c r="N383" s="11"/>
    </row>
    <row r="384" spans="13:14" ht="14.25" customHeight="1" x14ac:dyDescent="0.35">
      <c r="M384" s="11"/>
      <c r="N384" s="11"/>
    </row>
    <row r="385" spans="13:14" ht="14.25" customHeight="1" x14ac:dyDescent="0.35">
      <c r="M385" s="11"/>
      <c r="N385" s="11"/>
    </row>
    <row r="386" spans="13:14" ht="14.25" customHeight="1" x14ac:dyDescent="0.35">
      <c r="M386" s="11"/>
      <c r="N386" s="11"/>
    </row>
    <row r="387" spans="13:14" ht="14.25" customHeight="1" x14ac:dyDescent="0.35">
      <c r="M387" s="11"/>
      <c r="N387" s="11"/>
    </row>
    <row r="388" spans="13:14" ht="14.25" customHeight="1" x14ac:dyDescent="0.35">
      <c r="M388" s="11"/>
      <c r="N388" s="11"/>
    </row>
    <row r="389" spans="13:14" ht="14.25" customHeight="1" x14ac:dyDescent="0.35">
      <c r="M389" s="11"/>
      <c r="N389" s="11"/>
    </row>
    <row r="390" spans="13:14" ht="14.25" customHeight="1" x14ac:dyDescent="0.35">
      <c r="M390" s="11"/>
      <c r="N390" s="11"/>
    </row>
    <row r="391" spans="13:14" ht="14.25" customHeight="1" x14ac:dyDescent="0.35">
      <c r="M391" s="11"/>
      <c r="N391" s="11"/>
    </row>
    <row r="392" spans="13:14" ht="14.25" customHeight="1" x14ac:dyDescent="0.35">
      <c r="M392" s="11"/>
      <c r="N392" s="11"/>
    </row>
    <row r="393" spans="13:14" ht="14.25" customHeight="1" x14ac:dyDescent="0.35">
      <c r="M393" s="11"/>
      <c r="N393" s="11"/>
    </row>
    <row r="394" spans="13:14" ht="14.25" customHeight="1" x14ac:dyDescent="0.35">
      <c r="M394" s="11"/>
      <c r="N394" s="11"/>
    </row>
    <row r="395" spans="13:14" ht="14.25" customHeight="1" x14ac:dyDescent="0.35">
      <c r="M395" s="11"/>
      <c r="N395" s="11"/>
    </row>
    <row r="396" spans="13:14" ht="14.25" customHeight="1" x14ac:dyDescent="0.35">
      <c r="M396" s="11"/>
      <c r="N396" s="11"/>
    </row>
    <row r="397" spans="13:14" ht="14.25" customHeight="1" x14ac:dyDescent="0.35">
      <c r="M397" s="11"/>
      <c r="N397" s="11"/>
    </row>
    <row r="398" spans="13:14" ht="14.25" customHeight="1" x14ac:dyDescent="0.35">
      <c r="M398" s="11"/>
      <c r="N398" s="11"/>
    </row>
    <row r="399" spans="13:14" ht="14.25" customHeight="1" x14ac:dyDescent="0.35">
      <c r="M399" s="11"/>
      <c r="N399" s="11"/>
    </row>
    <row r="400" spans="13:14" ht="14.25" customHeight="1" x14ac:dyDescent="0.35">
      <c r="M400" s="11"/>
      <c r="N400" s="11"/>
    </row>
    <row r="401" spans="13:14" ht="14.25" customHeight="1" x14ac:dyDescent="0.35">
      <c r="M401" s="11"/>
      <c r="N401" s="11"/>
    </row>
    <row r="402" spans="13:14" ht="14.25" customHeight="1" x14ac:dyDescent="0.35">
      <c r="M402" s="11"/>
      <c r="N402" s="11"/>
    </row>
    <row r="403" spans="13:14" ht="14.25" customHeight="1" x14ac:dyDescent="0.35">
      <c r="M403" s="11"/>
      <c r="N403" s="11"/>
    </row>
    <row r="404" spans="13:14" ht="14.25" customHeight="1" x14ac:dyDescent="0.35">
      <c r="M404" s="11"/>
      <c r="N404" s="11"/>
    </row>
    <row r="405" spans="13:14" ht="14.25" customHeight="1" x14ac:dyDescent="0.35">
      <c r="M405" s="11"/>
      <c r="N405" s="11"/>
    </row>
    <row r="406" spans="13:14" ht="14.25" customHeight="1" x14ac:dyDescent="0.35">
      <c r="M406" s="11"/>
      <c r="N406" s="11"/>
    </row>
    <row r="407" spans="13:14" ht="14.25" customHeight="1" x14ac:dyDescent="0.35">
      <c r="M407" s="11"/>
      <c r="N407" s="11"/>
    </row>
    <row r="408" spans="13:14" ht="14.25" customHeight="1" x14ac:dyDescent="0.35">
      <c r="M408" s="11"/>
      <c r="N408" s="11"/>
    </row>
    <row r="409" spans="13:14" ht="14.25" customHeight="1" x14ac:dyDescent="0.35">
      <c r="M409" s="11"/>
      <c r="N409" s="11"/>
    </row>
    <row r="410" spans="13:14" ht="14.25" customHeight="1" x14ac:dyDescent="0.35">
      <c r="M410" s="11"/>
      <c r="N410" s="11"/>
    </row>
    <row r="411" spans="13:14" ht="14.25" customHeight="1" x14ac:dyDescent="0.35">
      <c r="M411" s="11"/>
      <c r="N411" s="11"/>
    </row>
    <row r="412" spans="13:14" ht="14.25" customHeight="1" x14ac:dyDescent="0.35">
      <c r="M412" s="11"/>
      <c r="N412" s="11"/>
    </row>
    <row r="413" spans="13:14" ht="14.25" customHeight="1" x14ac:dyDescent="0.35">
      <c r="M413" s="11"/>
      <c r="N413" s="11"/>
    </row>
    <row r="414" spans="13:14" ht="14.25" customHeight="1" x14ac:dyDescent="0.35">
      <c r="M414" s="11"/>
      <c r="N414" s="11"/>
    </row>
    <row r="415" spans="13:14" ht="14.25" customHeight="1" x14ac:dyDescent="0.35">
      <c r="M415" s="11"/>
      <c r="N415" s="11"/>
    </row>
    <row r="416" spans="13:14" ht="14.25" customHeight="1" x14ac:dyDescent="0.35">
      <c r="M416" s="11"/>
      <c r="N416" s="11"/>
    </row>
    <row r="417" spans="13:14" ht="14.25" customHeight="1" x14ac:dyDescent="0.35">
      <c r="M417" s="11"/>
      <c r="N417" s="11"/>
    </row>
    <row r="418" spans="13:14" ht="14.25" customHeight="1" x14ac:dyDescent="0.35">
      <c r="M418" s="11"/>
      <c r="N418" s="11"/>
    </row>
    <row r="419" spans="13:14" ht="14.25" customHeight="1" x14ac:dyDescent="0.35">
      <c r="M419" s="11"/>
      <c r="N419" s="11"/>
    </row>
    <row r="420" spans="13:14" ht="14.25" customHeight="1" x14ac:dyDescent="0.35">
      <c r="M420" s="11"/>
      <c r="N420" s="11"/>
    </row>
    <row r="421" spans="13:14" ht="14.25" customHeight="1" x14ac:dyDescent="0.35">
      <c r="M421" s="11"/>
      <c r="N421" s="11"/>
    </row>
    <row r="422" spans="13:14" ht="14.25" customHeight="1" x14ac:dyDescent="0.35">
      <c r="M422" s="11"/>
      <c r="N422" s="11"/>
    </row>
    <row r="423" spans="13:14" ht="14.25" customHeight="1" x14ac:dyDescent="0.35">
      <c r="M423" s="11"/>
      <c r="N423" s="11"/>
    </row>
    <row r="424" spans="13:14" ht="14.25" customHeight="1" x14ac:dyDescent="0.35">
      <c r="M424" s="11"/>
      <c r="N424" s="11"/>
    </row>
    <row r="425" spans="13:14" ht="14.25" customHeight="1" x14ac:dyDescent="0.35">
      <c r="M425" s="11"/>
      <c r="N425" s="11"/>
    </row>
    <row r="426" spans="13:14" ht="14.25" customHeight="1" x14ac:dyDescent="0.35">
      <c r="M426" s="11"/>
      <c r="N426" s="11"/>
    </row>
    <row r="427" spans="13:14" ht="14.25" customHeight="1" x14ac:dyDescent="0.35">
      <c r="M427" s="11"/>
      <c r="N427" s="11"/>
    </row>
    <row r="428" spans="13:14" ht="14.25" customHeight="1" x14ac:dyDescent="0.35">
      <c r="M428" s="11"/>
      <c r="N428" s="11"/>
    </row>
    <row r="429" spans="13:14" ht="14.25" customHeight="1" x14ac:dyDescent="0.35">
      <c r="M429" s="11"/>
      <c r="N429" s="11"/>
    </row>
    <row r="430" spans="13:14" ht="14.25" customHeight="1" x14ac:dyDescent="0.35">
      <c r="M430" s="11"/>
      <c r="N430" s="11"/>
    </row>
    <row r="431" spans="13:14" ht="14.25" customHeight="1" x14ac:dyDescent="0.35">
      <c r="M431" s="11"/>
      <c r="N431" s="11"/>
    </row>
    <row r="432" spans="13:14" ht="14.25" customHeight="1" x14ac:dyDescent="0.35">
      <c r="M432" s="11"/>
      <c r="N432" s="11"/>
    </row>
    <row r="433" spans="13:14" ht="14.25" customHeight="1" x14ac:dyDescent="0.35">
      <c r="M433" s="11"/>
      <c r="N433" s="11"/>
    </row>
    <row r="434" spans="13:14" ht="14.25" customHeight="1" x14ac:dyDescent="0.35">
      <c r="M434" s="11"/>
      <c r="N434" s="11"/>
    </row>
    <row r="435" spans="13:14" ht="14.25" customHeight="1" x14ac:dyDescent="0.35">
      <c r="M435" s="11"/>
      <c r="N435" s="11"/>
    </row>
    <row r="436" spans="13:14" ht="14.25" customHeight="1" x14ac:dyDescent="0.35">
      <c r="M436" s="11"/>
      <c r="N436" s="11"/>
    </row>
    <row r="437" spans="13:14" ht="14.25" customHeight="1" x14ac:dyDescent="0.35">
      <c r="M437" s="11"/>
      <c r="N437" s="11"/>
    </row>
    <row r="438" spans="13:14" ht="14.25" customHeight="1" x14ac:dyDescent="0.35">
      <c r="M438" s="11"/>
      <c r="N438" s="11"/>
    </row>
    <row r="439" spans="13:14" ht="14.25" customHeight="1" x14ac:dyDescent="0.35">
      <c r="M439" s="11"/>
      <c r="N439" s="11"/>
    </row>
    <row r="440" spans="13:14" ht="14.25" customHeight="1" x14ac:dyDescent="0.35">
      <c r="M440" s="11"/>
      <c r="N440" s="11"/>
    </row>
    <row r="441" spans="13:14" ht="14.25" customHeight="1" x14ac:dyDescent="0.35">
      <c r="M441" s="11"/>
      <c r="N441" s="11"/>
    </row>
    <row r="442" spans="13:14" ht="14.25" customHeight="1" x14ac:dyDescent="0.35">
      <c r="M442" s="11"/>
      <c r="N442" s="11"/>
    </row>
    <row r="443" spans="13:14" ht="14.25" customHeight="1" x14ac:dyDescent="0.35">
      <c r="M443" s="11"/>
      <c r="N443" s="11"/>
    </row>
    <row r="444" spans="13:14" ht="14.25" customHeight="1" x14ac:dyDescent="0.35">
      <c r="M444" s="11"/>
      <c r="N444" s="11"/>
    </row>
    <row r="445" spans="13:14" ht="14.25" customHeight="1" x14ac:dyDescent="0.35">
      <c r="M445" s="11"/>
      <c r="N445" s="11"/>
    </row>
    <row r="446" spans="13:14" ht="14.25" customHeight="1" x14ac:dyDescent="0.35">
      <c r="M446" s="11"/>
      <c r="N446" s="11"/>
    </row>
    <row r="447" spans="13:14" ht="14.25" customHeight="1" x14ac:dyDescent="0.35">
      <c r="M447" s="11"/>
      <c r="N447" s="11"/>
    </row>
    <row r="448" spans="13:14" ht="14.25" customHeight="1" x14ac:dyDescent="0.35">
      <c r="M448" s="11"/>
      <c r="N448" s="11"/>
    </row>
    <row r="449" spans="13:14" ht="14.25" customHeight="1" x14ac:dyDescent="0.35">
      <c r="M449" s="11"/>
      <c r="N449" s="11"/>
    </row>
    <row r="450" spans="13:14" ht="14.25" customHeight="1" x14ac:dyDescent="0.35">
      <c r="M450" s="11"/>
      <c r="N450" s="11"/>
    </row>
    <row r="451" spans="13:14" ht="14.25" customHeight="1" x14ac:dyDescent="0.35">
      <c r="M451" s="11"/>
      <c r="N451" s="11"/>
    </row>
    <row r="452" spans="13:14" ht="14.25" customHeight="1" x14ac:dyDescent="0.35">
      <c r="M452" s="11"/>
      <c r="N452" s="11"/>
    </row>
    <row r="453" spans="13:14" ht="14.25" customHeight="1" x14ac:dyDescent="0.35">
      <c r="M453" s="11"/>
      <c r="N453" s="11"/>
    </row>
    <row r="454" spans="13:14" ht="14.25" customHeight="1" x14ac:dyDescent="0.35">
      <c r="M454" s="11"/>
      <c r="N454" s="11"/>
    </row>
    <row r="455" spans="13:14" ht="14.25" customHeight="1" x14ac:dyDescent="0.35">
      <c r="M455" s="11"/>
      <c r="N455" s="11"/>
    </row>
    <row r="456" spans="13:14" ht="14.25" customHeight="1" x14ac:dyDescent="0.35">
      <c r="M456" s="11"/>
      <c r="N456" s="11"/>
    </row>
    <row r="457" spans="13:14" ht="14.25" customHeight="1" x14ac:dyDescent="0.35">
      <c r="M457" s="11"/>
      <c r="N457" s="11"/>
    </row>
    <row r="458" spans="13:14" ht="14.25" customHeight="1" x14ac:dyDescent="0.35">
      <c r="M458" s="11"/>
      <c r="N458" s="11"/>
    </row>
    <row r="459" spans="13:14" ht="14.25" customHeight="1" x14ac:dyDescent="0.35">
      <c r="M459" s="11"/>
      <c r="N459" s="11"/>
    </row>
    <row r="460" spans="13:14" ht="14.25" customHeight="1" x14ac:dyDescent="0.35">
      <c r="M460" s="11"/>
      <c r="N460" s="11"/>
    </row>
    <row r="461" spans="13:14" ht="14.25" customHeight="1" x14ac:dyDescent="0.35">
      <c r="M461" s="11"/>
      <c r="N461" s="11"/>
    </row>
    <row r="462" spans="13:14" ht="14.25" customHeight="1" x14ac:dyDescent="0.35">
      <c r="M462" s="11"/>
      <c r="N462" s="11"/>
    </row>
    <row r="463" spans="13:14" ht="14.25" customHeight="1" x14ac:dyDescent="0.35">
      <c r="M463" s="11"/>
      <c r="N463" s="11"/>
    </row>
    <row r="464" spans="13:14" ht="14.25" customHeight="1" x14ac:dyDescent="0.35">
      <c r="M464" s="11"/>
      <c r="N464" s="11"/>
    </row>
    <row r="465" spans="13:14" ht="14.25" customHeight="1" x14ac:dyDescent="0.35">
      <c r="M465" s="11"/>
      <c r="N465" s="11"/>
    </row>
    <row r="466" spans="13:14" ht="14.25" customHeight="1" x14ac:dyDescent="0.35">
      <c r="M466" s="11"/>
      <c r="N466" s="11"/>
    </row>
    <row r="467" spans="13:14" ht="14.25" customHeight="1" x14ac:dyDescent="0.35">
      <c r="M467" s="11"/>
      <c r="N467" s="11"/>
    </row>
    <row r="468" spans="13:14" ht="14.25" customHeight="1" x14ac:dyDescent="0.35">
      <c r="M468" s="11"/>
      <c r="N468" s="11"/>
    </row>
    <row r="469" spans="13:14" ht="14.25" customHeight="1" x14ac:dyDescent="0.35">
      <c r="M469" s="11"/>
      <c r="N469" s="11"/>
    </row>
    <row r="470" spans="13:14" ht="14.25" customHeight="1" x14ac:dyDescent="0.35">
      <c r="M470" s="11"/>
      <c r="N470" s="11"/>
    </row>
    <row r="471" spans="13:14" ht="14.25" customHeight="1" x14ac:dyDescent="0.35">
      <c r="M471" s="11"/>
      <c r="N471" s="11"/>
    </row>
    <row r="472" spans="13:14" ht="14.25" customHeight="1" x14ac:dyDescent="0.35">
      <c r="M472" s="11"/>
      <c r="N472" s="11"/>
    </row>
    <row r="473" spans="13:14" ht="14.25" customHeight="1" x14ac:dyDescent="0.35">
      <c r="M473" s="11"/>
      <c r="N473" s="11"/>
    </row>
    <row r="474" spans="13:14" ht="14.25" customHeight="1" x14ac:dyDescent="0.35">
      <c r="M474" s="11"/>
      <c r="N474" s="11"/>
    </row>
    <row r="475" spans="13:14" ht="14.25" customHeight="1" x14ac:dyDescent="0.35">
      <c r="M475" s="11"/>
      <c r="N475" s="11"/>
    </row>
    <row r="476" spans="13:14" ht="14.25" customHeight="1" x14ac:dyDescent="0.35">
      <c r="M476" s="11"/>
      <c r="N476" s="11"/>
    </row>
    <row r="477" spans="13:14" ht="14.25" customHeight="1" x14ac:dyDescent="0.35">
      <c r="M477" s="11"/>
      <c r="N477" s="11"/>
    </row>
    <row r="478" spans="13:14" ht="14.25" customHeight="1" x14ac:dyDescent="0.35">
      <c r="M478" s="11"/>
      <c r="N478" s="11"/>
    </row>
    <row r="479" spans="13:14" ht="14.25" customHeight="1" x14ac:dyDescent="0.35">
      <c r="M479" s="11"/>
      <c r="N479" s="11"/>
    </row>
    <row r="480" spans="13:14" ht="14.25" customHeight="1" x14ac:dyDescent="0.35">
      <c r="M480" s="11"/>
      <c r="N480" s="11"/>
    </row>
    <row r="481" spans="13:14" ht="14.25" customHeight="1" x14ac:dyDescent="0.35">
      <c r="M481" s="11"/>
      <c r="N481" s="11"/>
    </row>
    <row r="482" spans="13:14" ht="14.25" customHeight="1" x14ac:dyDescent="0.35">
      <c r="M482" s="11"/>
      <c r="N482" s="11"/>
    </row>
    <row r="483" spans="13:14" ht="14.25" customHeight="1" x14ac:dyDescent="0.35">
      <c r="M483" s="11"/>
      <c r="N483" s="11"/>
    </row>
    <row r="484" spans="13:14" ht="14.25" customHeight="1" x14ac:dyDescent="0.35">
      <c r="M484" s="11"/>
      <c r="N484" s="11"/>
    </row>
    <row r="485" spans="13:14" ht="14.25" customHeight="1" x14ac:dyDescent="0.35">
      <c r="M485" s="11"/>
      <c r="N485" s="11"/>
    </row>
    <row r="486" spans="13:14" ht="14.25" customHeight="1" x14ac:dyDescent="0.35">
      <c r="M486" s="11"/>
      <c r="N486" s="11"/>
    </row>
    <row r="487" spans="13:14" ht="14.25" customHeight="1" x14ac:dyDescent="0.35">
      <c r="M487" s="11"/>
      <c r="N487" s="11"/>
    </row>
    <row r="488" spans="13:14" ht="14.25" customHeight="1" x14ac:dyDescent="0.35">
      <c r="M488" s="11"/>
      <c r="N488" s="11"/>
    </row>
    <row r="489" spans="13:14" ht="14.25" customHeight="1" x14ac:dyDescent="0.35">
      <c r="M489" s="11"/>
      <c r="N489" s="11"/>
    </row>
    <row r="490" spans="13:14" ht="14.25" customHeight="1" x14ac:dyDescent="0.35">
      <c r="M490" s="11"/>
      <c r="N490" s="11"/>
    </row>
    <row r="491" spans="13:14" ht="14.25" customHeight="1" x14ac:dyDescent="0.35">
      <c r="M491" s="11"/>
      <c r="N491" s="11"/>
    </row>
    <row r="492" spans="13:14" ht="14.25" customHeight="1" x14ac:dyDescent="0.35">
      <c r="M492" s="11"/>
      <c r="N492" s="11"/>
    </row>
    <row r="493" spans="13:14" ht="14.25" customHeight="1" x14ac:dyDescent="0.35">
      <c r="M493" s="11"/>
      <c r="N493" s="11"/>
    </row>
    <row r="494" spans="13:14" ht="14.25" customHeight="1" x14ac:dyDescent="0.35">
      <c r="M494" s="11"/>
      <c r="N494" s="11"/>
    </row>
    <row r="495" spans="13:14" ht="14.25" customHeight="1" x14ac:dyDescent="0.35">
      <c r="M495" s="11"/>
      <c r="N495" s="11"/>
    </row>
    <row r="496" spans="13:14" ht="14.25" customHeight="1" x14ac:dyDescent="0.35">
      <c r="M496" s="11"/>
      <c r="N496" s="11"/>
    </row>
    <row r="497" spans="13:14" ht="14.25" customHeight="1" x14ac:dyDescent="0.35">
      <c r="M497" s="11"/>
      <c r="N497" s="11"/>
    </row>
    <row r="498" spans="13:14" ht="14.25" customHeight="1" x14ac:dyDescent="0.35">
      <c r="M498" s="11"/>
      <c r="N498" s="11"/>
    </row>
    <row r="499" spans="13:14" ht="14.25" customHeight="1" x14ac:dyDescent="0.35">
      <c r="M499" s="11"/>
      <c r="N499" s="11"/>
    </row>
    <row r="500" spans="13:14" ht="14.25" customHeight="1" x14ac:dyDescent="0.35">
      <c r="M500" s="11"/>
      <c r="N500" s="11"/>
    </row>
    <row r="501" spans="13:14" ht="14.25" customHeight="1" x14ac:dyDescent="0.35">
      <c r="M501" s="11"/>
      <c r="N501" s="11"/>
    </row>
    <row r="502" spans="13:14" ht="14.25" customHeight="1" x14ac:dyDescent="0.35">
      <c r="M502" s="11"/>
      <c r="N502" s="11"/>
    </row>
    <row r="503" spans="13:14" ht="14.25" customHeight="1" x14ac:dyDescent="0.35">
      <c r="M503" s="11"/>
      <c r="N503" s="11"/>
    </row>
    <row r="504" spans="13:14" ht="14.25" customHeight="1" x14ac:dyDescent="0.35">
      <c r="M504" s="11"/>
      <c r="N504" s="11"/>
    </row>
    <row r="505" spans="13:14" ht="14.25" customHeight="1" x14ac:dyDescent="0.35">
      <c r="M505" s="11"/>
      <c r="N505" s="11"/>
    </row>
    <row r="506" spans="13:14" ht="14.25" customHeight="1" x14ac:dyDescent="0.35">
      <c r="M506" s="11"/>
      <c r="N506" s="11"/>
    </row>
    <row r="507" spans="13:14" ht="14.25" customHeight="1" x14ac:dyDescent="0.35">
      <c r="M507" s="11"/>
      <c r="N507" s="11"/>
    </row>
    <row r="508" spans="13:14" ht="14.25" customHeight="1" x14ac:dyDescent="0.35">
      <c r="M508" s="11"/>
      <c r="N508" s="11"/>
    </row>
    <row r="509" spans="13:14" ht="14.25" customHeight="1" x14ac:dyDescent="0.35">
      <c r="M509" s="11"/>
      <c r="N509" s="11"/>
    </row>
    <row r="510" spans="13:14" ht="14.25" customHeight="1" x14ac:dyDescent="0.35">
      <c r="M510" s="11"/>
      <c r="N510" s="11"/>
    </row>
    <row r="511" spans="13:14" ht="14.25" customHeight="1" x14ac:dyDescent="0.35">
      <c r="M511" s="11"/>
      <c r="N511" s="11"/>
    </row>
    <row r="512" spans="13:14" ht="14.25" customHeight="1" x14ac:dyDescent="0.35">
      <c r="M512" s="11"/>
      <c r="N512" s="11"/>
    </row>
    <row r="513" spans="13:14" ht="14.25" customHeight="1" x14ac:dyDescent="0.35">
      <c r="M513" s="11"/>
      <c r="N513" s="11"/>
    </row>
    <row r="514" spans="13:14" ht="14.25" customHeight="1" x14ac:dyDescent="0.35">
      <c r="M514" s="11"/>
      <c r="N514" s="11"/>
    </row>
    <row r="515" spans="13:14" ht="14.25" customHeight="1" x14ac:dyDescent="0.35">
      <c r="M515" s="11"/>
      <c r="N515" s="11"/>
    </row>
    <row r="516" spans="13:14" ht="14.25" customHeight="1" x14ac:dyDescent="0.35">
      <c r="M516" s="11"/>
      <c r="N516" s="11"/>
    </row>
    <row r="517" spans="13:14" ht="14.25" customHeight="1" x14ac:dyDescent="0.35">
      <c r="M517" s="11"/>
      <c r="N517" s="11"/>
    </row>
    <row r="518" spans="13:14" ht="14.25" customHeight="1" x14ac:dyDescent="0.35">
      <c r="M518" s="11"/>
      <c r="N518" s="11"/>
    </row>
    <row r="519" spans="13:14" ht="14.25" customHeight="1" x14ac:dyDescent="0.35">
      <c r="M519" s="11"/>
      <c r="N519" s="11"/>
    </row>
    <row r="520" spans="13:14" ht="14.25" customHeight="1" x14ac:dyDescent="0.35">
      <c r="M520" s="11"/>
      <c r="N520" s="11"/>
    </row>
    <row r="521" spans="13:14" ht="14.25" customHeight="1" x14ac:dyDescent="0.35">
      <c r="M521" s="11"/>
      <c r="N521" s="11"/>
    </row>
    <row r="522" spans="13:14" ht="14.25" customHeight="1" x14ac:dyDescent="0.35">
      <c r="M522" s="11"/>
      <c r="N522" s="11"/>
    </row>
    <row r="523" spans="13:14" ht="14.25" customHeight="1" x14ac:dyDescent="0.35">
      <c r="M523" s="11"/>
      <c r="N523" s="11"/>
    </row>
    <row r="524" spans="13:14" ht="14.25" customHeight="1" x14ac:dyDescent="0.35">
      <c r="M524" s="11"/>
      <c r="N524" s="11"/>
    </row>
    <row r="525" spans="13:14" ht="14.25" customHeight="1" x14ac:dyDescent="0.35">
      <c r="M525" s="11"/>
      <c r="N525" s="11"/>
    </row>
    <row r="526" spans="13:14" ht="14.25" customHeight="1" x14ac:dyDescent="0.35">
      <c r="M526" s="11"/>
      <c r="N526" s="11"/>
    </row>
    <row r="527" spans="13:14" ht="14.25" customHeight="1" x14ac:dyDescent="0.35">
      <c r="M527" s="11"/>
      <c r="N527" s="11"/>
    </row>
    <row r="528" spans="13:14" ht="14.25" customHeight="1" x14ac:dyDescent="0.35">
      <c r="M528" s="11"/>
      <c r="N528" s="11"/>
    </row>
    <row r="529" spans="13:14" ht="14.25" customHeight="1" x14ac:dyDescent="0.35">
      <c r="M529" s="11"/>
      <c r="N529" s="11"/>
    </row>
    <row r="530" spans="13:14" ht="14.25" customHeight="1" x14ac:dyDescent="0.35">
      <c r="M530" s="11"/>
      <c r="N530" s="11"/>
    </row>
    <row r="531" spans="13:14" ht="14.25" customHeight="1" x14ac:dyDescent="0.35">
      <c r="M531" s="11"/>
      <c r="N531" s="11"/>
    </row>
    <row r="532" spans="13:14" ht="14.25" customHeight="1" x14ac:dyDescent="0.35">
      <c r="M532" s="11"/>
      <c r="N532" s="11"/>
    </row>
    <row r="533" spans="13:14" ht="14.25" customHeight="1" x14ac:dyDescent="0.35">
      <c r="M533" s="11"/>
      <c r="N533" s="11"/>
    </row>
    <row r="534" spans="13:14" ht="14.25" customHeight="1" x14ac:dyDescent="0.35">
      <c r="M534" s="11"/>
      <c r="N534" s="11"/>
    </row>
    <row r="535" spans="13:14" ht="14.25" customHeight="1" x14ac:dyDescent="0.35">
      <c r="M535" s="11"/>
      <c r="N535" s="11"/>
    </row>
    <row r="536" spans="13:14" ht="14.25" customHeight="1" x14ac:dyDescent="0.35">
      <c r="M536" s="11"/>
      <c r="N536" s="11"/>
    </row>
    <row r="537" spans="13:14" ht="14.25" customHeight="1" x14ac:dyDescent="0.35">
      <c r="M537" s="11"/>
      <c r="N537" s="11"/>
    </row>
    <row r="538" spans="13:14" ht="14.25" customHeight="1" x14ac:dyDescent="0.35">
      <c r="M538" s="11"/>
      <c r="N538" s="11"/>
    </row>
    <row r="539" spans="13:14" ht="14.25" customHeight="1" x14ac:dyDescent="0.35">
      <c r="M539" s="11"/>
      <c r="N539" s="11"/>
    </row>
    <row r="540" spans="13:14" ht="14.25" customHeight="1" x14ac:dyDescent="0.35">
      <c r="M540" s="11"/>
      <c r="N540" s="11"/>
    </row>
    <row r="541" spans="13:14" ht="14.25" customHeight="1" x14ac:dyDescent="0.35">
      <c r="M541" s="11"/>
      <c r="N541" s="11"/>
    </row>
    <row r="542" spans="13:14" ht="14.25" customHeight="1" x14ac:dyDescent="0.35">
      <c r="M542" s="11"/>
      <c r="N542" s="11"/>
    </row>
    <row r="543" spans="13:14" ht="14.25" customHeight="1" x14ac:dyDescent="0.35">
      <c r="M543" s="11"/>
      <c r="N543" s="11"/>
    </row>
    <row r="544" spans="13:14" ht="14.25" customHeight="1" x14ac:dyDescent="0.35">
      <c r="M544" s="11"/>
      <c r="N544" s="11"/>
    </row>
    <row r="545" spans="13:14" ht="14.25" customHeight="1" x14ac:dyDescent="0.35">
      <c r="M545" s="11"/>
      <c r="N545" s="11"/>
    </row>
    <row r="546" spans="13:14" ht="14.25" customHeight="1" x14ac:dyDescent="0.35">
      <c r="M546" s="11"/>
      <c r="N546" s="11"/>
    </row>
    <row r="547" spans="13:14" ht="14.25" customHeight="1" x14ac:dyDescent="0.35">
      <c r="M547" s="11"/>
      <c r="N547" s="11"/>
    </row>
    <row r="548" spans="13:14" ht="14.25" customHeight="1" x14ac:dyDescent="0.35">
      <c r="M548" s="11"/>
      <c r="N548" s="11"/>
    </row>
    <row r="549" spans="13:14" ht="14.25" customHeight="1" x14ac:dyDescent="0.35">
      <c r="M549" s="11"/>
      <c r="N549" s="11"/>
    </row>
    <row r="550" spans="13:14" ht="14.25" customHeight="1" x14ac:dyDescent="0.35">
      <c r="M550" s="11"/>
      <c r="N550" s="11"/>
    </row>
    <row r="551" spans="13:14" ht="14.25" customHeight="1" x14ac:dyDescent="0.35">
      <c r="M551" s="11"/>
      <c r="N551" s="11"/>
    </row>
    <row r="552" spans="13:14" ht="14.25" customHeight="1" x14ac:dyDescent="0.35">
      <c r="M552" s="11"/>
      <c r="N552" s="11"/>
    </row>
    <row r="553" spans="13:14" ht="14.25" customHeight="1" x14ac:dyDescent="0.35">
      <c r="M553" s="11"/>
      <c r="N553" s="11"/>
    </row>
    <row r="554" spans="13:14" ht="14.25" customHeight="1" x14ac:dyDescent="0.35">
      <c r="M554" s="11"/>
      <c r="N554" s="11"/>
    </row>
    <row r="555" spans="13:14" ht="14.25" customHeight="1" x14ac:dyDescent="0.35">
      <c r="M555" s="11"/>
      <c r="N555" s="11"/>
    </row>
    <row r="556" spans="13:14" ht="14.25" customHeight="1" x14ac:dyDescent="0.35">
      <c r="M556" s="11"/>
      <c r="N556" s="11"/>
    </row>
    <row r="557" spans="13:14" ht="14.25" customHeight="1" x14ac:dyDescent="0.35">
      <c r="M557" s="11"/>
      <c r="N557" s="11"/>
    </row>
    <row r="558" spans="13:14" ht="14.25" customHeight="1" x14ac:dyDescent="0.35">
      <c r="M558" s="11"/>
      <c r="N558" s="11"/>
    </row>
    <row r="559" spans="13:14" ht="14.25" customHeight="1" x14ac:dyDescent="0.35">
      <c r="M559" s="11"/>
      <c r="N559" s="11"/>
    </row>
    <row r="560" spans="13:14" ht="14.25" customHeight="1" x14ac:dyDescent="0.35">
      <c r="M560" s="11"/>
      <c r="N560" s="11"/>
    </row>
    <row r="561" spans="13:14" ht="14.25" customHeight="1" x14ac:dyDescent="0.35">
      <c r="M561" s="11"/>
      <c r="N561" s="11"/>
    </row>
    <row r="562" spans="13:14" ht="14.25" customHeight="1" x14ac:dyDescent="0.35">
      <c r="M562" s="11"/>
      <c r="N562" s="11"/>
    </row>
    <row r="563" spans="13:14" ht="14.25" customHeight="1" x14ac:dyDescent="0.35">
      <c r="M563" s="11"/>
      <c r="N563" s="11"/>
    </row>
    <row r="564" spans="13:14" ht="14.25" customHeight="1" x14ac:dyDescent="0.35">
      <c r="M564" s="11"/>
      <c r="N564" s="11"/>
    </row>
    <row r="565" spans="13:14" ht="14.25" customHeight="1" x14ac:dyDescent="0.35">
      <c r="M565" s="11"/>
      <c r="N565" s="11"/>
    </row>
    <row r="566" spans="13:14" ht="14.25" customHeight="1" x14ac:dyDescent="0.35">
      <c r="M566" s="11"/>
      <c r="N566" s="11"/>
    </row>
    <row r="567" spans="13:14" ht="14.25" customHeight="1" x14ac:dyDescent="0.35">
      <c r="M567" s="11"/>
      <c r="N567" s="11"/>
    </row>
    <row r="568" spans="13:14" ht="14.25" customHeight="1" x14ac:dyDescent="0.35">
      <c r="M568" s="11"/>
      <c r="N568" s="11"/>
    </row>
    <row r="569" spans="13:14" ht="14.25" customHeight="1" x14ac:dyDescent="0.35">
      <c r="M569" s="11"/>
      <c r="N569" s="11"/>
    </row>
    <row r="570" spans="13:14" ht="14.25" customHeight="1" x14ac:dyDescent="0.35">
      <c r="M570" s="11"/>
      <c r="N570" s="11"/>
    </row>
    <row r="571" spans="13:14" ht="14.25" customHeight="1" x14ac:dyDescent="0.35">
      <c r="M571" s="11"/>
      <c r="N571" s="11"/>
    </row>
    <row r="572" spans="13:14" ht="14.25" customHeight="1" x14ac:dyDescent="0.35">
      <c r="M572" s="11"/>
      <c r="N572" s="11"/>
    </row>
    <row r="573" spans="13:14" ht="14.25" customHeight="1" x14ac:dyDescent="0.35">
      <c r="M573" s="11"/>
      <c r="N573" s="11"/>
    </row>
    <row r="574" spans="13:14" ht="14.25" customHeight="1" x14ac:dyDescent="0.35">
      <c r="M574" s="11"/>
      <c r="N574" s="11"/>
    </row>
    <row r="575" spans="13:14" ht="14.25" customHeight="1" x14ac:dyDescent="0.35">
      <c r="M575" s="11"/>
      <c r="N575" s="11"/>
    </row>
    <row r="576" spans="13:14" ht="14.25" customHeight="1" x14ac:dyDescent="0.35">
      <c r="M576" s="11"/>
      <c r="N576" s="11"/>
    </row>
    <row r="577" spans="13:14" ht="14.25" customHeight="1" x14ac:dyDescent="0.35">
      <c r="M577" s="11"/>
      <c r="N577" s="11"/>
    </row>
    <row r="578" spans="13:14" ht="14.25" customHeight="1" x14ac:dyDescent="0.35">
      <c r="M578" s="11"/>
      <c r="N578" s="11"/>
    </row>
    <row r="579" spans="13:14" ht="14.25" customHeight="1" x14ac:dyDescent="0.35">
      <c r="M579" s="11"/>
      <c r="N579" s="11"/>
    </row>
    <row r="580" spans="13:14" ht="14.25" customHeight="1" x14ac:dyDescent="0.35">
      <c r="M580" s="11"/>
      <c r="N580" s="11"/>
    </row>
    <row r="581" spans="13:14" ht="14.25" customHeight="1" x14ac:dyDescent="0.35">
      <c r="M581" s="11"/>
      <c r="N581" s="11"/>
    </row>
    <row r="582" spans="13:14" ht="14.25" customHeight="1" x14ac:dyDescent="0.35">
      <c r="M582" s="11"/>
      <c r="N582" s="11"/>
    </row>
    <row r="583" spans="13:14" ht="14.25" customHeight="1" x14ac:dyDescent="0.35">
      <c r="M583" s="11"/>
      <c r="N583" s="11"/>
    </row>
    <row r="584" spans="13:14" ht="14.25" customHeight="1" x14ac:dyDescent="0.35">
      <c r="M584" s="11"/>
      <c r="N584" s="11"/>
    </row>
    <row r="585" spans="13:14" ht="14.25" customHeight="1" x14ac:dyDescent="0.35">
      <c r="M585" s="11"/>
      <c r="N585" s="11"/>
    </row>
    <row r="586" spans="13:14" ht="14.25" customHeight="1" x14ac:dyDescent="0.35">
      <c r="M586" s="11"/>
      <c r="N586" s="11"/>
    </row>
    <row r="587" spans="13:14" ht="14.25" customHeight="1" x14ac:dyDescent="0.35">
      <c r="M587" s="11"/>
      <c r="N587" s="11"/>
    </row>
    <row r="588" spans="13:14" ht="14.25" customHeight="1" x14ac:dyDescent="0.35">
      <c r="M588" s="11"/>
      <c r="N588" s="11"/>
    </row>
    <row r="589" spans="13:14" ht="14.25" customHeight="1" x14ac:dyDescent="0.35">
      <c r="M589" s="11"/>
      <c r="N589" s="11"/>
    </row>
    <row r="590" spans="13:14" ht="14.25" customHeight="1" x14ac:dyDescent="0.35">
      <c r="M590" s="11"/>
      <c r="N590" s="11"/>
    </row>
    <row r="591" spans="13:14" ht="14.25" customHeight="1" x14ac:dyDescent="0.35">
      <c r="M591" s="11"/>
      <c r="N591" s="11"/>
    </row>
    <row r="592" spans="13:14" ht="14.25" customHeight="1" x14ac:dyDescent="0.35">
      <c r="M592" s="11"/>
      <c r="N592" s="11"/>
    </row>
    <row r="593" spans="13:14" ht="14.25" customHeight="1" x14ac:dyDescent="0.35">
      <c r="M593" s="11"/>
      <c r="N593" s="11"/>
    </row>
    <row r="594" spans="13:14" ht="14.25" customHeight="1" x14ac:dyDescent="0.35">
      <c r="M594" s="11"/>
      <c r="N594" s="11"/>
    </row>
    <row r="595" spans="13:14" ht="14.25" customHeight="1" x14ac:dyDescent="0.35">
      <c r="M595" s="11"/>
      <c r="N595" s="11"/>
    </row>
    <row r="596" spans="13:14" ht="14.25" customHeight="1" x14ac:dyDescent="0.35">
      <c r="M596" s="11"/>
      <c r="N596" s="11"/>
    </row>
    <row r="597" spans="13:14" ht="14.25" customHeight="1" x14ac:dyDescent="0.35">
      <c r="M597" s="11"/>
      <c r="N597" s="11"/>
    </row>
    <row r="598" spans="13:14" ht="14.25" customHeight="1" x14ac:dyDescent="0.35">
      <c r="M598" s="11"/>
      <c r="N598" s="11"/>
    </row>
    <row r="599" spans="13:14" ht="14.25" customHeight="1" x14ac:dyDescent="0.35">
      <c r="M599" s="11"/>
      <c r="N599" s="11"/>
    </row>
    <row r="600" spans="13:14" ht="14.25" customHeight="1" x14ac:dyDescent="0.35">
      <c r="M600" s="11"/>
      <c r="N600" s="11"/>
    </row>
    <row r="601" spans="13:14" ht="14.25" customHeight="1" x14ac:dyDescent="0.35">
      <c r="M601" s="11"/>
      <c r="N601" s="11"/>
    </row>
    <row r="602" spans="13:14" ht="14.25" customHeight="1" x14ac:dyDescent="0.35">
      <c r="M602" s="11"/>
      <c r="N602" s="11"/>
    </row>
    <row r="603" spans="13:14" ht="14.25" customHeight="1" x14ac:dyDescent="0.35">
      <c r="M603" s="11"/>
      <c r="N603" s="11"/>
    </row>
    <row r="604" spans="13:14" ht="14.25" customHeight="1" x14ac:dyDescent="0.35">
      <c r="M604" s="11"/>
      <c r="N604" s="11"/>
    </row>
    <row r="605" spans="13:14" ht="14.25" customHeight="1" x14ac:dyDescent="0.35">
      <c r="M605" s="11"/>
      <c r="N605" s="11"/>
    </row>
    <row r="606" spans="13:14" ht="14.25" customHeight="1" x14ac:dyDescent="0.35">
      <c r="M606" s="11"/>
      <c r="N606" s="11"/>
    </row>
    <row r="607" spans="13:14" ht="14.25" customHeight="1" x14ac:dyDescent="0.35">
      <c r="M607" s="11"/>
      <c r="N607" s="11"/>
    </row>
    <row r="608" spans="13:14" ht="14.25" customHeight="1" x14ac:dyDescent="0.35">
      <c r="M608" s="11"/>
      <c r="N608" s="11"/>
    </row>
    <row r="609" spans="13:14" ht="14.25" customHeight="1" x14ac:dyDescent="0.35">
      <c r="M609" s="11"/>
      <c r="N609" s="11"/>
    </row>
    <row r="610" spans="13:14" ht="14.25" customHeight="1" x14ac:dyDescent="0.35">
      <c r="M610" s="11"/>
      <c r="N610" s="11"/>
    </row>
    <row r="611" spans="13:14" ht="14.25" customHeight="1" x14ac:dyDescent="0.35">
      <c r="M611" s="11"/>
      <c r="N611" s="11"/>
    </row>
    <row r="612" spans="13:14" ht="14.25" customHeight="1" x14ac:dyDescent="0.35">
      <c r="M612" s="11"/>
      <c r="N612" s="11"/>
    </row>
    <row r="613" spans="13:14" ht="14.25" customHeight="1" x14ac:dyDescent="0.35">
      <c r="M613" s="11"/>
      <c r="N613" s="11"/>
    </row>
    <row r="614" spans="13:14" ht="14.25" customHeight="1" x14ac:dyDescent="0.35">
      <c r="M614" s="11"/>
      <c r="N614" s="11"/>
    </row>
    <row r="615" spans="13:14" ht="14.25" customHeight="1" x14ac:dyDescent="0.35">
      <c r="M615" s="11"/>
      <c r="N615" s="11"/>
    </row>
    <row r="616" spans="13:14" ht="14.25" customHeight="1" x14ac:dyDescent="0.35">
      <c r="M616" s="11"/>
      <c r="N616" s="11"/>
    </row>
    <row r="617" spans="13:14" ht="14.25" customHeight="1" x14ac:dyDescent="0.35">
      <c r="M617" s="11"/>
      <c r="N617" s="11"/>
    </row>
    <row r="618" spans="13:14" ht="14.25" customHeight="1" x14ac:dyDescent="0.35">
      <c r="M618" s="11"/>
      <c r="N618" s="11"/>
    </row>
    <row r="619" spans="13:14" ht="14.25" customHeight="1" x14ac:dyDescent="0.35">
      <c r="M619" s="11"/>
      <c r="N619" s="11"/>
    </row>
    <row r="620" spans="13:14" ht="14.25" customHeight="1" x14ac:dyDescent="0.35">
      <c r="M620" s="11"/>
      <c r="N620" s="11"/>
    </row>
    <row r="621" spans="13:14" ht="14.25" customHeight="1" x14ac:dyDescent="0.35">
      <c r="M621" s="11"/>
      <c r="N621" s="11"/>
    </row>
    <row r="622" spans="13:14" ht="14.25" customHeight="1" x14ac:dyDescent="0.35">
      <c r="M622" s="11"/>
      <c r="N622" s="11"/>
    </row>
    <row r="623" spans="13:14" ht="14.25" customHeight="1" x14ac:dyDescent="0.35">
      <c r="M623" s="11"/>
      <c r="N623" s="11"/>
    </row>
    <row r="624" spans="13:14" ht="14.25" customHeight="1" x14ac:dyDescent="0.35">
      <c r="M624" s="11"/>
      <c r="N624" s="11"/>
    </row>
    <row r="625" spans="13:14" ht="14.25" customHeight="1" x14ac:dyDescent="0.35">
      <c r="M625" s="11"/>
      <c r="N625" s="11"/>
    </row>
    <row r="626" spans="13:14" ht="14.25" customHeight="1" x14ac:dyDescent="0.35">
      <c r="M626" s="11"/>
      <c r="N626" s="11"/>
    </row>
    <row r="627" spans="13:14" ht="14.25" customHeight="1" x14ac:dyDescent="0.35">
      <c r="M627" s="11"/>
      <c r="N627" s="11"/>
    </row>
    <row r="628" spans="13:14" ht="14.25" customHeight="1" x14ac:dyDescent="0.35">
      <c r="M628" s="11"/>
      <c r="N628" s="11"/>
    </row>
    <row r="629" spans="13:14" ht="14.25" customHeight="1" x14ac:dyDescent="0.35">
      <c r="M629" s="11"/>
      <c r="N629" s="11"/>
    </row>
    <row r="630" spans="13:14" ht="14.25" customHeight="1" x14ac:dyDescent="0.35">
      <c r="M630" s="11"/>
      <c r="N630" s="11"/>
    </row>
    <row r="631" spans="13:14" ht="14.25" customHeight="1" x14ac:dyDescent="0.35">
      <c r="M631" s="11"/>
      <c r="N631" s="11"/>
    </row>
    <row r="632" spans="13:14" ht="14.25" customHeight="1" x14ac:dyDescent="0.35">
      <c r="M632" s="11"/>
      <c r="N632" s="11"/>
    </row>
    <row r="633" spans="13:14" ht="14.25" customHeight="1" x14ac:dyDescent="0.35">
      <c r="M633" s="11"/>
      <c r="N633" s="11"/>
    </row>
    <row r="634" spans="13:14" ht="14.25" customHeight="1" x14ac:dyDescent="0.35">
      <c r="M634" s="11"/>
      <c r="N634" s="11"/>
    </row>
    <row r="635" spans="13:14" ht="14.25" customHeight="1" x14ac:dyDescent="0.35">
      <c r="M635" s="11"/>
      <c r="N635" s="11"/>
    </row>
    <row r="636" spans="13:14" ht="14.25" customHeight="1" x14ac:dyDescent="0.35">
      <c r="M636" s="11"/>
      <c r="N636" s="11"/>
    </row>
    <row r="637" spans="13:14" ht="14.25" customHeight="1" x14ac:dyDescent="0.35">
      <c r="M637" s="11"/>
      <c r="N637" s="11"/>
    </row>
    <row r="638" spans="13:14" ht="14.25" customHeight="1" x14ac:dyDescent="0.35">
      <c r="M638" s="11"/>
      <c r="N638" s="11"/>
    </row>
    <row r="639" spans="13:14" ht="14.25" customHeight="1" x14ac:dyDescent="0.35">
      <c r="M639" s="11"/>
      <c r="N639" s="11"/>
    </row>
    <row r="640" spans="13:14" ht="14.25" customHeight="1" x14ac:dyDescent="0.35">
      <c r="M640" s="11"/>
      <c r="N640" s="11"/>
    </row>
    <row r="641" spans="13:14" ht="14.25" customHeight="1" x14ac:dyDescent="0.35">
      <c r="M641" s="11"/>
      <c r="N641" s="11"/>
    </row>
    <row r="642" spans="13:14" ht="14.25" customHeight="1" x14ac:dyDescent="0.35">
      <c r="M642" s="11"/>
      <c r="N642" s="11"/>
    </row>
    <row r="643" spans="13:14" ht="14.25" customHeight="1" x14ac:dyDescent="0.35">
      <c r="M643" s="11"/>
      <c r="N643" s="11"/>
    </row>
    <row r="644" spans="13:14" ht="14.25" customHeight="1" x14ac:dyDescent="0.35">
      <c r="M644" s="11"/>
      <c r="N644" s="11"/>
    </row>
    <row r="645" spans="13:14" ht="14.25" customHeight="1" x14ac:dyDescent="0.35">
      <c r="M645" s="11"/>
      <c r="N645" s="11"/>
    </row>
    <row r="646" spans="13:14" ht="14.25" customHeight="1" x14ac:dyDescent="0.35">
      <c r="M646" s="11"/>
      <c r="N646" s="11"/>
    </row>
    <row r="647" spans="13:14" ht="14.25" customHeight="1" x14ac:dyDescent="0.35">
      <c r="M647" s="11"/>
      <c r="N647" s="11"/>
    </row>
    <row r="648" spans="13:14" ht="14.25" customHeight="1" x14ac:dyDescent="0.35">
      <c r="M648" s="11"/>
      <c r="N648" s="11"/>
    </row>
    <row r="649" spans="13:14" ht="14.25" customHeight="1" x14ac:dyDescent="0.35">
      <c r="M649" s="11"/>
      <c r="N649" s="11"/>
    </row>
    <row r="650" spans="13:14" ht="14.25" customHeight="1" x14ac:dyDescent="0.35">
      <c r="M650" s="11"/>
      <c r="N650" s="11"/>
    </row>
    <row r="651" spans="13:14" ht="14.25" customHeight="1" x14ac:dyDescent="0.35">
      <c r="M651" s="11"/>
      <c r="N651" s="11"/>
    </row>
    <row r="652" spans="13:14" ht="14.25" customHeight="1" x14ac:dyDescent="0.35">
      <c r="M652" s="11"/>
      <c r="N652" s="11"/>
    </row>
    <row r="653" spans="13:14" ht="14.25" customHeight="1" x14ac:dyDescent="0.35">
      <c r="M653" s="11"/>
      <c r="N653" s="11"/>
    </row>
    <row r="654" spans="13:14" ht="14.25" customHeight="1" x14ac:dyDescent="0.35">
      <c r="M654" s="11"/>
      <c r="N654" s="11"/>
    </row>
    <row r="655" spans="13:14" ht="14.25" customHeight="1" x14ac:dyDescent="0.35">
      <c r="M655" s="11"/>
      <c r="N655" s="11"/>
    </row>
    <row r="656" spans="13:14" ht="14.25" customHeight="1" x14ac:dyDescent="0.35">
      <c r="M656" s="11"/>
      <c r="N656" s="11"/>
    </row>
    <row r="657" spans="13:14" ht="14.25" customHeight="1" x14ac:dyDescent="0.35">
      <c r="M657" s="11"/>
      <c r="N657" s="11"/>
    </row>
    <row r="658" spans="13:14" ht="14.25" customHeight="1" x14ac:dyDescent="0.35">
      <c r="M658" s="11"/>
      <c r="N658" s="11"/>
    </row>
    <row r="659" spans="13:14" ht="14.25" customHeight="1" x14ac:dyDescent="0.35">
      <c r="M659" s="11"/>
      <c r="N659" s="11"/>
    </row>
    <row r="660" spans="13:14" ht="14.25" customHeight="1" x14ac:dyDescent="0.35">
      <c r="M660" s="11"/>
      <c r="N660" s="11"/>
    </row>
    <row r="661" spans="13:14" ht="14.25" customHeight="1" x14ac:dyDescent="0.35">
      <c r="M661" s="11"/>
      <c r="N661" s="11"/>
    </row>
    <row r="662" spans="13:14" ht="14.25" customHeight="1" x14ac:dyDescent="0.35">
      <c r="M662" s="11"/>
      <c r="N662" s="11"/>
    </row>
    <row r="663" spans="13:14" ht="14.25" customHeight="1" x14ac:dyDescent="0.35">
      <c r="M663" s="11"/>
      <c r="N663" s="11"/>
    </row>
    <row r="664" spans="13:14" ht="14.25" customHeight="1" x14ac:dyDescent="0.35">
      <c r="M664" s="11"/>
      <c r="N664" s="11"/>
    </row>
    <row r="665" spans="13:14" ht="14.25" customHeight="1" x14ac:dyDescent="0.35">
      <c r="M665" s="11"/>
      <c r="N665" s="11"/>
    </row>
    <row r="666" spans="13:14" ht="14.25" customHeight="1" x14ac:dyDescent="0.35">
      <c r="M666" s="11"/>
      <c r="N666" s="11"/>
    </row>
    <row r="667" spans="13:14" ht="14.25" customHeight="1" x14ac:dyDescent="0.35">
      <c r="M667" s="11"/>
      <c r="N667" s="11"/>
    </row>
    <row r="668" spans="13:14" ht="14.25" customHeight="1" x14ac:dyDescent="0.35">
      <c r="M668" s="11"/>
      <c r="N668" s="11"/>
    </row>
    <row r="669" spans="13:14" ht="14.25" customHeight="1" x14ac:dyDescent="0.35">
      <c r="M669" s="11"/>
      <c r="N669" s="11"/>
    </row>
    <row r="670" spans="13:14" ht="14.25" customHeight="1" x14ac:dyDescent="0.35">
      <c r="M670" s="11"/>
      <c r="N670" s="11"/>
    </row>
    <row r="671" spans="13:14" ht="14.25" customHeight="1" x14ac:dyDescent="0.35">
      <c r="M671" s="11"/>
      <c r="N671" s="11"/>
    </row>
    <row r="672" spans="13:14" ht="14.25" customHeight="1" x14ac:dyDescent="0.35">
      <c r="M672" s="11"/>
      <c r="N672" s="11"/>
    </row>
    <row r="673" spans="13:14" ht="14.25" customHeight="1" x14ac:dyDescent="0.35">
      <c r="M673" s="11"/>
      <c r="N673" s="11"/>
    </row>
    <row r="674" spans="13:14" ht="14.25" customHeight="1" x14ac:dyDescent="0.35">
      <c r="M674" s="11"/>
      <c r="N674" s="11"/>
    </row>
    <row r="675" spans="13:14" ht="14.25" customHeight="1" x14ac:dyDescent="0.35">
      <c r="M675" s="11"/>
      <c r="N675" s="11"/>
    </row>
    <row r="676" spans="13:14" ht="14.25" customHeight="1" x14ac:dyDescent="0.35">
      <c r="M676" s="11"/>
      <c r="N676" s="11"/>
    </row>
    <row r="677" spans="13:14" ht="14.25" customHeight="1" x14ac:dyDescent="0.35">
      <c r="M677" s="11"/>
      <c r="N677" s="11"/>
    </row>
    <row r="678" spans="13:14" ht="14.25" customHeight="1" x14ac:dyDescent="0.35">
      <c r="M678" s="11"/>
      <c r="N678" s="11"/>
    </row>
    <row r="679" spans="13:14" ht="14.25" customHeight="1" x14ac:dyDescent="0.35">
      <c r="M679" s="11"/>
      <c r="N679" s="11"/>
    </row>
    <row r="680" spans="13:14" ht="14.25" customHeight="1" x14ac:dyDescent="0.35">
      <c r="M680" s="11"/>
      <c r="N680" s="11"/>
    </row>
    <row r="681" spans="13:14" ht="14.25" customHeight="1" x14ac:dyDescent="0.35">
      <c r="M681" s="11"/>
      <c r="N681" s="11"/>
    </row>
    <row r="682" spans="13:14" ht="14.25" customHeight="1" x14ac:dyDescent="0.35">
      <c r="M682" s="11"/>
      <c r="N682" s="11"/>
    </row>
    <row r="683" spans="13:14" ht="14.25" customHeight="1" x14ac:dyDescent="0.35">
      <c r="M683" s="11"/>
      <c r="N683" s="11"/>
    </row>
    <row r="684" spans="13:14" ht="14.25" customHeight="1" x14ac:dyDescent="0.35">
      <c r="M684" s="11"/>
      <c r="N684" s="11"/>
    </row>
    <row r="685" spans="13:14" ht="14.25" customHeight="1" x14ac:dyDescent="0.35">
      <c r="M685" s="11"/>
      <c r="N685" s="11"/>
    </row>
    <row r="686" spans="13:14" ht="14.25" customHeight="1" x14ac:dyDescent="0.35">
      <c r="M686" s="11"/>
      <c r="N686" s="11"/>
    </row>
    <row r="687" spans="13:14" ht="14.25" customHeight="1" x14ac:dyDescent="0.35">
      <c r="M687" s="11"/>
      <c r="N687" s="11"/>
    </row>
    <row r="688" spans="13:14" ht="14.25" customHeight="1" x14ac:dyDescent="0.35">
      <c r="M688" s="11"/>
      <c r="N688" s="11"/>
    </row>
    <row r="689" spans="13:14" ht="14.25" customHeight="1" x14ac:dyDescent="0.35">
      <c r="M689" s="11"/>
      <c r="N689" s="11"/>
    </row>
    <row r="690" spans="13:14" ht="14.25" customHeight="1" x14ac:dyDescent="0.35">
      <c r="M690" s="11"/>
      <c r="N690" s="11"/>
    </row>
    <row r="691" spans="13:14" ht="14.25" customHeight="1" x14ac:dyDescent="0.35">
      <c r="M691" s="11"/>
      <c r="N691" s="11"/>
    </row>
    <row r="692" spans="13:14" ht="14.25" customHeight="1" x14ac:dyDescent="0.35">
      <c r="M692" s="11"/>
      <c r="N692" s="11"/>
    </row>
    <row r="693" spans="13:14" ht="14.25" customHeight="1" x14ac:dyDescent="0.35">
      <c r="M693" s="11"/>
      <c r="N693" s="11"/>
    </row>
    <row r="694" spans="13:14" ht="14.25" customHeight="1" x14ac:dyDescent="0.35">
      <c r="M694" s="11"/>
      <c r="N694" s="11"/>
    </row>
    <row r="695" spans="13:14" ht="14.25" customHeight="1" x14ac:dyDescent="0.35">
      <c r="M695" s="11"/>
      <c r="N695" s="11"/>
    </row>
    <row r="696" spans="13:14" ht="14.25" customHeight="1" x14ac:dyDescent="0.35">
      <c r="M696" s="11"/>
      <c r="N696" s="11"/>
    </row>
    <row r="697" spans="13:14" ht="14.25" customHeight="1" x14ac:dyDescent="0.35">
      <c r="M697" s="11"/>
      <c r="N697" s="11"/>
    </row>
    <row r="698" spans="13:14" ht="14.25" customHeight="1" x14ac:dyDescent="0.35">
      <c r="M698" s="11"/>
      <c r="N698" s="11"/>
    </row>
    <row r="699" spans="13:14" ht="14.25" customHeight="1" x14ac:dyDescent="0.35">
      <c r="M699" s="11"/>
      <c r="N699" s="11"/>
    </row>
    <row r="700" spans="13:14" ht="14.25" customHeight="1" x14ac:dyDescent="0.35">
      <c r="M700" s="11"/>
      <c r="N700" s="11"/>
    </row>
    <row r="701" spans="13:14" ht="14.25" customHeight="1" x14ac:dyDescent="0.35">
      <c r="M701" s="11"/>
      <c r="N701" s="11"/>
    </row>
    <row r="702" spans="13:14" ht="14.25" customHeight="1" x14ac:dyDescent="0.35">
      <c r="M702" s="11"/>
      <c r="N702" s="11"/>
    </row>
    <row r="703" spans="13:14" ht="14.25" customHeight="1" x14ac:dyDescent="0.35">
      <c r="M703" s="11"/>
      <c r="N703" s="11"/>
    </row>
    <row r="704" spans="13:14" ht="14.25" customHeight="1" x14ac:dyDescent="0.35">
      <c r="M704" s="11"/>
      <c r="N704" s="11"/>
    </row>
    <row r="705" spans="13:14" ht="14.25" customHeight="1" x14ac:dyDescent="0.35">
      <c r="M705" s="11"/>
      <c r="N705" s="11"/>
    </row>
    <row r="706" spans="13:14" ht="14.25" customHeight="1" x14ac:dyDescent="0.35">
      <c r="M706" s="11"/>
      <c r="N706" s="11"/>
    </row>
    <row r="707" spans="13:14" ht="14.25" customHeight="1" x14ac:dyDescent="0.35">
      <c r="M707" s="11"/>
      <c r="N707" s="11"/>
    </row>
    <row r="708" spans="13:14" ht="14.25" customHeight="1" x14ac:dyDescent="0.35">
      <c r="M708" s="11"/>
      <c r="N708" s="11"/>
    </row>
    <row r="709" spans="13:14" ht="14.25" customHeight="1" x14ac:dyDescent="0.35">
      <c r="M709" s="11"/>
      <c r="N709" s="11"/>
    </row>
    <row r="710" spans="13:14" ht="14.25" customHeight="1" x14ac:dyDescent="0.35">
      <c r="M710" s="11"/>
      <c r="N710" s="11"/>
    </row>
    <row r="711" spans="13:14" ht="14.25" customHeight="1" x14ac:dyDescent="0.35">
      <c r="M711" s="11"/>
      <c r="N711" s="11"/>
    </row>
    <row r="712" spans="13:14" ht="14.25" customHeight="1" x14ac:dyDescent="0.35">
      <c r="M712" s="11"/>
      <c r="N712" s="11"/>
    </row>
    <row r="713" spans="13:14" ht="14.25" customHeight="1" x14ac:dyDescent="0.35">
      <c r="M713" s="11"/>
      <c r="N713" s="11"/>
    </row>
    <row r="714" spans="13:14" ht="14.25" customHeight="1" x14ac:dyDescent="0.35">
      <c r="M714" s="11"/>
      <c r="N714" s="11"/>
    </row>
    <row r="715" spans="13:14" ht="14.25" customHeight="1" x14ac:dyDescent="0.35">
      <c r="M715" s="11"/>
      <c r="N715" s="11"/>
    </row>
    <row r="716" spans="13:14" ht="14.25" customHeight="1" x14ac:dyDescent="0.35">
      <c r="M716" s="11"/>
      <c r="N716" s="11"/>
    </row>
    <row r="717" spans="13:14" ht="14.25" customHeight="1" x14ac:dyDescent="0.35">
      <c r="M717" s="11"/>
      <c r="N717" s="11"/>
    </row>
    <row r="718" spans="13:14" ht="14.25" customHeight="1" x14ac:dyDescent="0.35">
      <c r="M718" s="11"/>
      <c r="N718" s="11"/>
    </row>
    <row r="719" spans="13:14" ht="14.25" customHeight="1" x14ac:dyDescent="0.35">
      <c r="M719" s="11"/>
      <c r="N719" s="11"/>
    </row>
    <row r="720" spans="13:14" ht="14.25" customHeight="1" x14ac:dyDescent="0.35">
      <c r="M720" s="11"/>
      <c r="N720" s="11"/>
    </row>
    <row r="721" spans="13:14" ht="14.25" customHeight="1" x14ac:dyDescent="0.35">
      <c r="M721" s="11"/>
      <c r="N721" s="11"/>
    </row>
    <row r="722" spans="13:14" ht="14.25" customHeight="1" x14ac:dyDescent="0.35">
      <c r="M722" s="11"/>
      <c r="N722" s="11"/>
    </row>
    <row r="723" spans="13:14" ht="14.25" customHeight="1" x14ac:dyDescent="0.35">
      <c r="M723" s="11"/>
      <c r="N723" s="11"/>
    </row>
    <row r="724" spans="13:14" ht="14.25" customHeight="1" x14ac:dyDescent="0.35">
      <c r="M724" s="11"/>
      <c r="N724" s="11"/>
    </row>
    <row r="725" spans="13:14" ht="14.25" customHeight="1" x14ac:dyDescent="0.35">
      <c r="M725" s="11"/>
      <c r="N725" s="11"/>
    </row>
    <row r="726" spans="13:14" ht="14.25" customHeight="1" x14ac:dyDescent="0.35">
      <c r="M726" s="11"/>
      <c r="N726" s="11"/>
    </row>
    <row r="727" spans="13:14" ht="14.25" customHeight="1" x14ac:dyDescent="0.35">
      <c r="M727" s="11"/>
      <c r="N727" s="11"/>
    </row>
    <row r="728" spans="13:14" ht="14.25" customHeight="1" x14ac:dyDescent="0.35">
      <c r="M728" s="11"/>
      <c r="N728" s="11"/>
    </row>
    <row r="729" spans="13:14" ht="14.25" customHeight="1" x14ac:dyDescent="0.35">
      <c r="M729" s="11"/>
      <c r="N729" s="11"/>
    </row>
    <row r="730" spans="13:14" ht="14.25" customHeight="1" x14ac:dyDescent="0.35">
      <c r="M730" s="11"/>
      <c r="N730" s="11"/>
    </row>
    <row r="731" spans="13:14" ht="14.25" customHeight="1" x14ac:dyDescent="0.35">
      <c r="M731" s="11"/>
      <c r="N731" s="11"/>
    </row>
    <row r="732" spans="13:14" ht="14.25" customHeight="1" x14ac:dyDescent="0.35">
      <c r="M732" s="11"/>
      <c r="N732" s="11"/>
    </row>
    <row r="733" spans="13:14" ht="14.25" customHeight="1" x14ac:dyDescent="0.35">
      <c r="M733" s="11"/>
      <c r="N733" s="11"/>
    </row>
    <row r="734" spans="13:14" ht="14.25" customHeight="1" x14ac:dyDescent="0.35">
      <c r="M734" s="11"/>
      <c r="N734" s="11"/>
    </row>
    <row r="735" spans="13:14" ht="14.25" customHeight="1" x14ac:dyDescent="0.35">
      <c r="M735" s="11"/>
      <c r="N735" s="11"/>
    </row>
    <row r="736" spans="13:14" ht="14.25" customHeight="1" x14ac:dyDescent="0.35">
      <c r="M736" s="11"/>
      <c r="N736" s="11"/>
    </row>
    <row r="737" spans="13:14" ht="14.25" customHeight="1" x14ac:dyDescent="0.35">
      <c r="M737" s="11"/>
      <c r="N737" s="11"/>
    </row>
    <row r="738" spans="13:14" ht="14.25" customHeight="1" x14ac:dyDescent="0.35">
      <c r="M738" s="11"/>
      <c r="N738" s="11"/>
    </row>
    <row r="739" spans="13:14" ht="14.25" customHeight="1" x14ac:dyDescent="0.35">
      <c r="M739" s="11"/>
      <c r="N739" s="11"/>
    </row>
    <row r="740" spans="13:14" ht="14.25" customHeight="1" x14ac:dyDescent="0.35">
      <c r="M740" s="11"/>
      <c r="N740" s="11"/>
    </row>
    <row r="741" spans="13:14" ht="14.25" customHeight="1" x14ac:dyDescent="0.35">
      <c r="M741" s="11"/>
      <c r="N741" s="11"/>
    </row>
    <row r="742" spans="13:14" ht="14.25" customHeight="1" x14ac:dyDescent="0.35">
      <c r="M742" s="11"/>
      <c r="N742" s="11"/>
    </row>
    <row r="743" spans="13:14" ht="14.25" customHeight="1" x14ac:dyDescent="0.35">
      <c r="M743" s="11"/>
      <c r="N743" s="11"/>
    </row>
    <row r="744" spans="13:14" ht="14.25" customHeight="1" x14ac:dyDescent="0.35">
      <c r="M744" s="11"/>
      <c r="N744" s="11"/>
    </row>
    <row r="745" spans="13:14" ht="14.25" customHeight="1" x14ac:dyDescent="0.35">
      <c r="M745" s="11"/>
      <c r="N745" s="11"/>
    </row>
    <row r="746" spans="13:14" ht="14.25" customHeight="1" x14ac:dyDescent="0.35">
      <c r="M746" s="11"/>
      <c r="N746" s="11"/>
    </row>
    <row r="747" spans="13:14" ht="14.25" customHeight="1" x14ac:dyDescent="0.35">
      <c r="M747" s="11"/>
      <c r="N747" s="11"/>
    </row>
    <row r="748" spans="13:14" ht="14.25" customHeight="1" x14ac:dyDescent="0.35">
      <c r="M748" s="11"/>
      <c r="N748" s="11"/>
    </row>
    <row r="749" spans="13:14" ht="14.25" customHeight="1" x14ac:dyDescent="0.35">
      <c r="M749" s="11"/>
      <c r="N749" s="11"/>
    </row>
    <row r="750" spans="13:14" ht="14.25" customHeight="1" x14ac:dyDescent="0.35">
      <c r="M750" s="11"/>
      <c r="N750" s="11"/>
    </row>
    <row r="751" spans="13:14" ht="14.25" customHeight="1" x14ac:dyDescent="0.35">
      <c r="M751" s="11"/>
      <c r="N751" s="11"/>
    </row>
    <row r="752" spans="13:14" ht="14.25" customHeight="1" x14ac:dyDescent="0.35">
      <c r="M752" s="11"/>
      <c r="N752" s="11"/>
    </row>
    <row r="753" spans="13:14" ht="14.25" customHeight="1" x14ac:dyDescent="0.35">
      <c r="M753" s="11"/>
      <c r="N753" s="11"/>
    </row>
    <row r="754" spans="13:14" ht="14.25" customHeight="1" x14ac:dyDescent="0.35">
      <c r="M754" s="11"/>
      <c r="N754" s="11"/>
    </row>
    <row r="755" spans="13:14" ht="14.25" customHeight="1" x14ac:dyDescent="0.35">
      <c r="M755" s="11"/>
      <c r="N755" s="11"/>
    </row>
    <row r="756" spans="13:14" ht="14.25" customHeight="1" x14ac:dyDescent="0.35">
      <c r="M756" s="11"/>
      <c r="N756" s="11"/>
    </row>
    <row r="757" spans="13:14" ht="14.25" customHeight="1" x14ac:dyDescent="0.35">
      <c r="M757" s="11"/>
      <c r="N757" s="11"/>
    </row>
    <row r="758" spans="13:14" ht="14.25" customHeight="1" x14ac:dyDescent="0.35">
      <c r="M758" s="11"/>
      <c r="N758" s="11"/>
    </row>
    <row r="759" spans="13:14" ht="14.25" customHeight="1" x14ac:dyDescent="0.35">
      <c r="M759" s="11"/>
      <c r="N759" s="11"/>
    </row>
    <row r="760" spans="13:14" ht="14.25" customHeight="1" x14ac:dyDescent="0.35">
      <c r="M760" s="11"/>
      <c r="N760" s="11"/>
    </row>
    <row r="761" spans="13:14" ht="14.25" customHeight="1" x14ac:dyDescent="0.35">
      <c r="M761" s="11"/>
      <c r="N761" s="11"/>
    </row>
    <row r="762" spans="13:14" ht="14.25" customHeight="1" x14ac:dyDescent="0.35">
      <c r="M762" s="11"/>
      <c r="N762" s="11"/>
    </row>
    <row r="763" spans="13:14" ht="14.25" customHeight="1" x14ac:dyDescent="0.35">
      <c r="M763" s="11"/>
      <c r="N763" s="11"/>
    </row>
    <row r="764" spans="13:14" ht="14.25" customHeight="1" x14ac:dyDescent="0.35">
      <c r="M764" s="11"/>
      <c r="N764" s="11"/>
    </row>
    <row r="765" spans="13:14" ht="14.25" customHeight="1" x14ac:dyDescent="0.35">
      <c r="M765" s="11"/>
      <c r="N765" s="11"/>
    </row>
    <row r="766" spans="13:14" ht="14.25" customHeight="1" x14ac:dyDescent="0.35">
      <c r="M766" s="11"/>
      <c r="N766" s="11"/>
    </row>
    <row r="767" spans="13:14" ht="14.25" customHeight="1" x14ac:dyDescent="0.35">
      <c r="M767" s="11"/>
      <c r="N767" s="11"/>
    </row>
    <row r="768" spans="13:14" ht="14.25" customHeight="1" x14ac:dyDescent="0.35">
      <c r="M768" s="11"/>
      <c r="N768" s="11"/>
    </row>
    <row r="769" spans="13:14" ht="14.25" customHeight="1" x14ac:dyDescent="0.35">
      <c r="M769" s="11"/>
      <c r="N769" s="11"/>
    </row>
    <row r="770" spans="13:14" ht="14.25" customHeight="1" x14ac:dyDescent="0.35">
      <c r="M770" s="11"/>
      <c r="N770" s="11"/>
    </row>
    <row r="771" spans="13:14" ht="14.25" customHeight="1" x14ac:dyDescent="0.35">
      <c r="M771" s="11"/>
      <c r="N771" s="11"/>
    </row>
    <row r="772" spans="13:14" ht="14.25" customHeight="1" x14ac:dyDescent="0.35">
      <c r="M772" s="11"/>
      <c r="N772" s="11"/>
    </row>
    <row r="773" spans="13:14" ht="14.25" customHeight="1" x14ac:dyDescent="0.35">
      <c r="M773" s="11"/>
      <c r="N773" s="11"/>
    </row>
    <row r="774" spans="13:14" ht="14.25" customHeight="1" x14ac:dyDescent="0.35">
      <c r="M774" s="11"/>
      <c r="N774" s="11"/>
    </row>
    <row r="775" spans="13:14" ht="14.25" customHeight="1" x14ac:dyDescent="0.35">
      <c r="M775" s="11"/>
      <c r="N775" s="11"/>
    </row>
    <row r="776" spans="13:14" ht="14.25" customHeight="1" x14ac:dyDescent="0.35">
      <c r="M776" s="11"/>
      <c r="N776" s="11"/>
    </row>
    <row r="777" spans="13:14" ht="14.25" customHeight="1" x14ac:dyDescent="0.35">
      <c r="M777" s="11"/>
      <c r="N777" s="11"/>
    </row>
    <row r="778" spans="13:14" ht="14.25" customHeight="1" x14ac:dyDescent="0.35">
      <c r="M778" s="11"/>
      <c r="N778" s="11"/>
    </row>
    <row r="779" spans="13:14" ht="14.25" customHeight="1" x14ac:dyDescent="0.35">
      <c r="M779" s="11"/>
      <c r="N779" s="11"/>
    </row>
    <row r="780" spans="13:14" ht="14.25" customHeight="1" x14ac:dyDescent="0.35">
      <c r="M780" s="11"/>
      <c r="N780" s="11"/>
    </row>
    <row r="781" spans="13:14" ht="14.25" customHeight="1" x14ac:dyDescent="0.35">
      <c r="M781" s="11"/>
      <c r="N781" s="11"/>
    </row>
    <row r="782" spans="13:14" ht="14.25" customHeight="1" x14ac:dyDescent="0.35">
      <c r="M782" s="11"/>
      <c r="N782" s="11"/>
    </row>
    <row r="783" spans="13:14" ht="14.25" customHeight="1" x14ac:dyDescent="0.35">
      <c r="M783" s="11"/>
      <c r="N783" s="11"/>
    </row>
    <row r="784" spans="13:14" ht="14.25" customHeight="1" x14ac:dyDescent="0.35">
      <c r="M784" s="11"/>
      <c r="N784" s="11"/>
    </row>
    <row r="785" spans="13:14" ht="14.25" customHeight="1" x14ac:dyDescent="0.35">
      <c r="M785" s="11"/>
      <c r="N785" s="11"/>
    </row>
    <row r="786" spans="13:14" ht="14.25" customHeight="1" x14ac:dyDescent="0.35">
      <c r="M786" s="11"/>
      <c r="N786" s="11"/>
    </row>
    <row r="787" spans="13:14" ht="14.25" customHeight="1" x14ac:dyDescent="0.35">
      <c r="M787" s="11"/>
      <c r="N787" s="11"/>
    </row>
    <row r="788" spans="13:14" ht="14.25" customHeight="1" x14ac:dyDescent="0.35">
      <c r="M788" s="11"/>
      <c r="N788" s="11"/>
    </row>
    <row r="789" spans="13:14" ht="14.25" customHeight="1" x14ac:dyDescent="0.35">
      <c r="M789" s="11"/>
      <c r="N789" s="11"/>
    </row>
    <row r="790" spans="13:14" ht="14.25" customHeight="1" x14ac:dyDescent="0.35">
      <c r="M790" s="11"/>
      <c r="N790" s="11"/>
    </row>
    <row r="791" spans="13:14" ht="14.25" customHeight="1" x14ac:dyDescent="0.35">
      <c r="M791" s="11"/>
      <c r="N791" s="11"/>
    </row>
    <row r="792" spans="13:14" ht="14.25" customHeight="1" x14ac:dyDescent="0.35">
      <c r="M792" s="11"/>
      <c r="N792" s="11"/>
    </row>
    <row r="793" spans="13:14" ht="14.25" customHeight="1" x14ac:dyDescent="0.35">
      <c r="M793" s="11"/>
      <c r="N793" s="11"/>
    </row>
    <row r="794" spans="13:14" ht="14.25" customHeight="1" x14ac:dyDescent="0.35">
      <c r="M794" s="11"/>
      <c r="N794" s="11"/>
    </row>
    <row r="795" spans="13:14" ht="14.25" customHeight="1" x14ac:dyDescent="0.35">
      <c r="M795" s="11"/>
      <c r="N795" s="11"/>
    </row>
    <row r="796" spans="13:14" ht="14.25" customHeight="1" x14ac:dyDescent="0.35">
      <c r="M796" s="11"/>
      <c r="N796" s="11"/>
    </row>
    <row r="797" spans="13:14" ht="14.25" customHeight="1" x14ac:dyDescent="0.35">
      <c r="M797" s="11"/>
      <c r="N797" s="11"/>
    </row>
    <row r="798" spans="13:14" ht="14.25" customHeight="1" x14ac:dyDescent="0.35">
      <c r="M798" s="11"/>
      <c r="N798" s="11"/>
    </row>
    <row r="799" spans="13:14" ht="14.25" customHeight="1" x14ac:dyDescent="0.35">
      <c r="M799" s="11"/>
      <c r="N799" s="11"/>
    </row>
    <row r="800" spans="13:14" ht="14.25" customHeight="1" x14ac:dyDescent="0.35">
      <c r="M800" s="11"/>
      <c r="N800" s="11"/>
    </row>
    <row r="801" spans="13:14" ht="14.25" customHeight="1" x14ac:dyDescent="0.35">
      <c r="M801" s="11"/>
      <c r="N801" s="11"/>
    </row>
    <row r="802" spans="13:14" ht="14.25" customHeight="1" x14ac:dyDescent="0.35">
      <c r="M802" s="11"/>
      <c r="N802" s="11"/>
    </row>
    <row r="803" spans="13:14" ht="14.25" customHeight="1" x14ac:dyDescent="0.35">
      <c r="M803" s="11"/>
      <c r="N803" s="11"/>
    </row>
    <row r="804" spans="13:14" ht="14.25" customHeight="1" x14ac:dyDescent="0.35">
      <c r="M804" s="11"/>
      <c r="N804" s="11"/>
    </row>
    <row r="805" spans="13:14" ht="14.25" customHeight="1" x14ac:dyDescent="0.35">
      <c r="M805" s="11"/>
      <c r="N805" s="11"/>
    </row>
    <row r="806" spans="13:14" ht="14.25" customHeight="1" x14ac:dyDescent="0.35">
      <c r="M806" s="11"/>
      <c r="N806" s="11"/>
    </row>
    <row r="807" spans="13:14" ht="14.25" customHeight="1" x14ac:dyDescent="0.35">
      <c r="M807" s="11"/>
      <c r="N807" s="11"/>
    </row>
    <row r="808" spans="13:14" ht="14.25" customHeight="1" x14ac:dyDescent="0.35">
      <c r="M808" s="11"/>
      <c r="N808" s="11"/>
    </row>
    <row r="809" spans="13:14" ht="14.25" customHeight="1" x14ac:dyDescent="0.35">
      <c r="M809" s="11"/>
      <c r="N809" s="11"/>
    </row>
    <row r="810" spans="13:14" ht="14.25" customHeight="1" x14ac:dyDescent="0.35">
      <c r="M810" s="11"/>
      <c r="N810" s="11"/>
    </row>
    <row r="811" spans="13:14" ht="14.25" customHeight="1" x14ac:dyDescent="0.35">
      <c r="M811" s="11"/>
      <c r="N811" s="11"/>
    </row>
    <row r="812" spans="13:14" ht="14.25" customHeight="1" x14ac:dyDescent="0.35">
      <c r="M812" s="11"/>
      <c r="N812" s="11"/>
    </row>
    <row r="813" spans="13:14" ht="14.25" customHeight="1" x14ac:dyDescent="0.35">
      <c r="M813" s="11"/>
      <c r="N813" s="11"/>
    </row>
    <row r="814" spans="13:14" ht="14.25" customHeight="1" x14ac:dyDescent="0.35">
      <c r="M814" s="11"/>
      <c r="N814" s="11"/>
    </row>
    <row r="815" spans="13:14" ht="14.25" customHeight="1" x14ac:dyDescent="0.35">
      <c r="M815" s="11"/>
      <c r="N815" s="11"/>
    </row>
    <row r="816" spans="13:14" ht="14.25" customHeight="1" x14ac:dyDescent="0.35">
      <c r="M816" s="11"/>
      <c r="N816" s="11"/>
    </row>
    <row r="817" spans="13:14" ht="14.25" customHeight="1" x14ac:dyDescent="0.35">
      <c r="M817" s="11"/>
      <c r="N817" s="11"/>
    </row>
    <row r="818" spans="13:14" ht="14.25" customHeight="1" x14ac:dyDescent="0.35">
      <c r="M818" s="11"/>
      <c r="N818" s="11"/>
    </row>
    <row r="819" spans="13:14" ht="14.25" customHeight="1" x14ac:dyDescent="0.35">
      <c r="M819" s="11"/>
      <c r="N819" s="11"/>
    </row>
    <row r="820" spans="13:14" ht="14.25" customHeight="1" x14ac:dyDescent="0.35">
      <c r="M820" s="11"/>
      <c r="N820" s="11"/>
    </row>
    <row r="821" spans="13:14" ht="14.25" customHeight="1" x14ac:dyDescent="0.35">
      <c r="M821" s="11"/>
      <c r="N821" s="11"/>
    </row>
    <row r="822" spans="13:14" ht="14.25" customHeight="1" x14ac:dyDescent="0.35">
      <c r="M822" s="11"/>
      <c r="N822" s="11"/>
    </row>
    <row r="823" spans="13:14" ht="14.25" customHeight="1" x14ac:dyDescent="0.35">
      <c r="M823" s="11"/>
      <c r="N823" s="11"/>
    </row>
    <row r="824" spans="13:14" ht="14.25" customHeight="1" x14ac:dyDescent="0.35">
      <c r="M824" s="11"/>
      <c r="N824" s="11"/>
    </row>
    <row r="825" spans="13:14" ht="14.25" customHeight="1" x14ac:dyDescent="0.35">
      <c r="M825" s="11"/>
      <c r="N825" s="11"/>
    </row>
    <row r="826" spans="13:14" ht="14.25" customHeight="1" x14ac:dyDescent="0.35">
      <c r="M826" s="11"/>
      <c r="N826" s="11"/>
    </row>
    <row r="827" spans="13:14" ht="14.25" customHeight="1" x14ac:dyDescent="0.35">
      <c r="M827" s="11"/>
      <c r="N827" s="11"/>
    </row>
    <row r="828" spans="13:14" ht="14.25" customHeight="1" x14ac:dyDescent="0.35">
      <c r="M828" s="11"/>
      <c r="N828" s="11"/>
    </row>
    <row r="829" spans="13:14" ht="14.25" customHeight="1" x14ac:dyDescent="0.35">
      <c r="M829" s="11"/>
      <c r="N829" s="11"/>
    </row>
    <row r="830" spans="13:14" ht="14.25" customHeight="1" x14ac:dyDescent="0.35">
      <c r="M830" s="11"/>
      <c r="N830" s="11"/>
    </row>
    <row r="831" spans="13:14" ht="14.25" customHeight="1" x14ac:dyDescent="0.35">
      <c r="M831" s="11"/>
      <c r="N831" s="11"/>
    </row>
    <row r="832" spans="13:14" ht="14.25" customHeight="1" x14ac:dyDescent="0.35">
      <c r="M832" s="11"/>
      <c r="N832" s="11"/>
    </row>
    <row r="833" spans="13:14" ht="14.25" customHeight="1" x14ac:dyDescent="0.35">
      <c r="M833" s="11"/>
      <c r="N833" s="11"/>
    </row>
    <row r="834" spans="13:14" ht="14.25" customHeight="1" x14ac:dyDescent="0.35">
      <c r="M834" s="11"/>
      <c r="N834" s="11"/>
    </row>
    <row r="835" spans="13:14" ht="14.25" customHeight="1" x14ac:dyDescent="0.35">
      <c r="M835" s="11"/>
      <c r="N835" s="11"/>
    </row>
    <row r="836" spans="13:14" ht="14.25" customHeight="1" x14ac:dyDescent="0.35">
      <c r="M836" s="11"/>
      <c r="N836" s="11"/>
    </row>
    <row r="837" spans="13:14" ht="14.25" customHeight="1" x14ac:dyDescent="0.35">
      <c r="M837" s="11"/>
      <c r="N837" s="11"/>
    </row>
    <row r="838" spans="13:14" ht="14.25" customHeight="1" x14ac:dyDescent="0.35">
      <c r="M838" s="11"/>
      <c r="N838" s="11"/>
    </row>
    <row r="839" spans="13:14" ht="14.25" customHeight="1" x14ac:dyDescent="0.35">
      <c r="M839" s="11"/>
      <c r="N839" s="11"/>
    </row>
    <row r="840" spans="13:14" ht="14.25" customHeight="1" x14ac:dyDescent="0.35">
      <c r="M840" s="11"/>
      <c r="N840" s="11"/>
    </row>
    <row r="841" spans="13:14" ht="14.25" customHeight="1" x14ac:dyDescent="0.35">
      <c r="M841" s="11"/>
      <c r="N841" s="11"/>
    </row>
    <row r="842" spans="13:14" ht="14.25" customHeight="1" x14ac:dyDescent="0.35">
      <c r="M842" s="11"/>
      <c r="N842" s="11"/>
    </row>
    <row r="843" spans="13:14" ht="14.25" customHeight="1" x14ac:dyDescent="0.35">
      <c r="M843" s="11"/>
      <c r="N843" s="11"/>
    </row>
    <row r="844" spans="13:14" ht="14.25" customHeight="1" x14ac:dyDescent="0.35">
      <c r="M844" s="11"/>
      <c r="N844" s="11"/>
    </row>
    <row r="845" spans="13:14" ht="14.25" customHeight="1" x14ac:dyDescent="0.35">
      <c r="M845" s="11"/>
      <c r="N845" s="11"/>
    </row>
    <row r="846" spans="13:14" ht="14.25" customHeight="1" x14ac:dyDescent="0.35">
      <c r="M846" s="11"/>
      <c r="N846" s="11"/>
    </row>
    <row r="847" spans="13:14" ht="14.25" customHeight="1" x14ac:dyDescent="0.35">
      <c r="M847" s="11"/>
      <c r="N847" s="11"/>
    </row>
    <row r="848" spans="13:14" ht="14.25" customHeight="1" x14ac:dyDescent="0.35">
      <c r="M848" s="11"/>
      <c r="N848" s="11"/>
    </row>
    <row r="849" spans="13:14" ht="14.25" customHeight="1" x14ac:dyDescent="0.35">
      <c r="M849" s="11"/>
      <c r="N849" s="11"/>
    </row>
    <row r="850" spans="13:14" ht="14.25" customHeight="1" x14ac:dyDescent="0.35">
      <c r="M850" s="11"/>
      <c r="N850" s="11"/>
    </row>
    <row r="851" spans="13:14" ht="14.25" customHeight="1" x14ac:dyDescent="0.35">
      <c r="M851" s="11"/>
      <c r="N851" s="11"/>
    </row>
    <row r="852" spans="13:14" ht="14.25" customHeight="1" x14ac:dyDescent="0.35">
      <c r="M852" s="11"/>
      <c r="N852" s="11"/>
    </row>
    <row r="853" spans="13:14" ht="14.25" customHeight="1" x14ac:dyDescent="0.35">
      <c r="M853" s="11"/>
      <c r="N853" s="11"/>
    </row>
    <row r="854" spans="13:14" ht="14.25" customHeight="1" x14ac:dyDescent="0.35">
      <c r="M854" s="11"/>
      <c r="N854" s="11"/>
    </row>
    <row r="855" spans="13:14" ht="14.25" customHeight="1" x14ac:dyDescent="0.35">
      <c r="M855" s="11"/>
      <c r="N855" s="11"/>
    </row>
    <row r="856" spans="13:14" ht="14.25" customHeight="1" x14ac:dyDescent="0.35">
      <c r="M856" s="11"/>
      <c r="N856" s="11"/>
    </row>
    <row r="857" spans="13:14" ht="14.25" customHeight="1" x14ac:dyDescent="0.35">
      <c r="M857" s="11"/>
      <c r="N857" s="11"/>
    </row>
    <row r="858" spans="13:14" ht="14.25" customHeight="1" x14ac:dyDescent="0.35">
      <c r="M858" s="11"/>
      <c r="N858" s="11"/>
    </row>
    <row r="859" spans="13:14" ht="14.25" customHeight="1" x14ac:dyDescent="0.35">
      <c r="M859" s="11"/>
      <c r="N859" s="11"/>
    </row>
    <row r="860" spans="13:14" ht="14.25" customHeight="1" x14ac:dyDescent="0.35">
      <c r="M860" s="11"/>
      <c r="N860" s="11"/>
    </row>
    <row r="861" spans="13:14" ht="14.25" customHeight="1" x14ac:dyDescent="0.35">
      <c r="M861" s="11"/>
      <c r="N861" s="11"/>
    </row>
    <row r="862" spans="13:14" ht="14.25" customHeight="1" x14ac:dyDescent="0.35">
      <c r="M862" s="11"/>
      <c r="N862" s="11"/>
    </row>
    <row r="863" spans="13:14" ht="14.25" customHeight="1" x14ac:dyDescent="0.35">
      <c r="M863" s="11"/>
      <c r="N863" s="11"/>
    </row>
    <row r="864" spans="13:14" ht="14.25" customHeight="1" x14ac:dyDescent="0.35">
      <c r="M864" s="11"/>
      <c r="N864" s="11"/>
    </row>
    <row r="865" spans="13:14" ht="14.25" customHeight="1" x14ac:dyDescent="0.35">
      <c r="M865" s="11"/>
      <c r="N865" s="11"/>
    </row>
    <row r="866" spans="13:14" ht="14.25" customHeight="1" x14ac:dyDescent="0.35">
      <c r="M866" s="11"/>
      <c r="N866" s="11"/>
    </row>
    <row r="867" spans="13:14" ht="14.25" customHeight="1" x14ac:dyDescent="0.35">
      <c r="M867" s="11"/>
      <c r="N867" s="11"/>
    </row>
    <row r="868" spans="13:14" ht="14.25" customHeight="1" x14ac:dyDescent="0.35">
      <c r="M868" s="11"/>
      <c r="N868" s="11"/>
    </row>
    <row r="869" spans="13:14" ht="14.25" customHeight="1" x14ac:dyDescent="0.35">
      <c r="M869" s="11"/>
      <c r="N869" s="11"/>
    </row>
    <row r="870" spans="13:14" ht="14.25" customHeight="1" x14ac:dyDescent="0.35">
      <c r="M870" s="11"/>
      <c r="N870" s="11"/>
    </row>
    <row r="871" spans="13:14" ht="14.25" customHeight="1" x14ac:dyDescent="0.35">
      <c r="M871" s="11"/>
      <c r="N871" s="11"/>
    </row>
    <row r="872" spans="13:14" ht="14.25" customHeight="1" x14ac:dyDescent="0.35">
      <c r="M872" s="11"/>
      <c r="N872" s="11"/>
    </row>
    <row r="873" spans="13:14" ht="14.25" customHeight="1" x14ac:dyDescent="0.35">
      <c r="M873" s="11"/>
      <c r="N873" s="11"/>
    </row>
    <row r="874" spans="13:14" ht="14.25" customHeight="1" x14ac:dyDescent="0.35">
      <c r="M874" s="11"/>
      <c r="N874" s="11"/>
    </row>
    <row r="875" spans="13:14" ht="14.25" customHeight="1" x14ac:dyDescent="0.35">
      <c r="M875" s="11"/>
      <c r="N875" s="11"/>
    </row>
    <row r="876" spans="13:14" ht="14.25" customHeight="1" x14ac:dyDescent="0.35">
      <c r="M876" s="11"/>
      <c r="N876" s="11"/>
    </row>
    <row r="877" spans="13:14" ht="14.25" customHeight="1" x14ac:dyDescent="0.35">
      <c r="M877" s="11"/>
      <c r="N877" s="11"/>
    </row>
    <row r="878" spans="13:14" ht="14.25" customHeight="1" x14ac:dyDescent="0.35">
      <c r="M878" s="11"/>
      <c r="N878" s="11"/>
    </row>
    <row r="879" spans="13:14" ht="14.25" customHeight="1" x14ac:dyDescent="0.35">
      <c r="M879" s="11"/>
      <c r="N879" s="11"/>
    </row>
    <row r="880" spans="13:14" ht="14.25" customHeight="1" x14ac:dyDescent="0.35">
      <c r="M880" s="11"/>
      <c r="N880" s="11"/>
    </row>
    <row r="881" spans="13:14" ht="14.25" customHeight="1" x14ac:dyDescent="0.35">
      <c r="M881" s="11"/>
      <c r="N881" s="11"/>
    </row>
    <row r="882" spans="13:14" ht="14.25" customHeight="1" x14ac:dyDescent="0.35">
      <c r="M882" s="11"/>
      <c r="N882" s="11"/>
    </row>
    <row r="883" spans="13:14" ht="14.25" customHeight="1" x14ac:dyDescent="0.35">
      <c r="M883" s="11"/>
      <c r="N883" s="11"/>
    </row>
    <row r="884" spans="13:14" ht="14.25" customHeight="1" x14ac:dyDescent="0.35">
      <c r="M884" s="11"/>
      <c r="N884" s="11"/>
    </row>
    <row r="885" spans="13:14" ht="14.25" customHeight="1" x14ac:dyDescent="0.35">
      <c r="M885" s="11"/>
      <c r="N885" s="11"/>
    </row>
    <row r="886" spans="13:14" ht="14.25" customHeight="1" x14ac:dyDescent="0.35">
      <c r="M886" s="11"/>
      <c r="N886" s="11"/>
    </row>
    <row r="887" spans="13:14" ht="14.25" customHeight="1" x14ac:dyDescent="0.35">
      <c r="M887" s="11"/>
      <c r="N887" s="11"/>
    </row>
    <row r="888" spans="13:14" ht="14.25" customHeight="1" x14ac:dyDescent="0.35">
      <c r="M888" s="11"/>
      <c r="N888" s="11"/>
    </row>
    <row r="889" spans="13:14" ht="14.25" customHeight="1" x14ac:dyDescent="0.35">
      <c r="M889" s="11"/>
      <c r="N889" s="11"/>
    </row>
    <row r="890" spans="13:14" ht="14.25" customHeight="1" x14ac:dyDescent="0.35">
      <c r="M890" s="11"/>
      <c r="N890" s="11"/>
    </row>
    <row r="891" spans="13:14" ht="14.25" customHeight="1" x14ac:dyDescent="0.35">
      <c r="M891" s="11"/>
      <c r="N891" s="11"/>
    </row>
    <row r="892" spans="13:14" ht="14.25" customHeight="1" x14ac:dyDescent="0.35">
      <c r="M892" s="11"/>
      <c r="N892" s="11"/>
    </row>
    <row r="893" spans="13:14" ht="14.25" customHeight="1" x14ac:dyDescent="0.35">
      <c r="M893" s="11"/>
      <c r="N893" s="11"/>
    </row>
    <row r="894" spans="13:14" ht="14.25" customHeight="1" x14ac:dyDescent="0.35">
      <c r="M894" s="11"/>
      <c r="N894" s="11"/>
    </row>
    <row r="895" spans="13:14" ht="14.25" customHeight="1" x14ac:dyDescent="0.35">
      <c r="M895" s="11"/>
      <c r="N895" s="11"/>
    </row>
    <row r="896" spans="13:14" ht="14.25" customHeight="1" x14ac:dyDescent="0.35">
      <c r="M896" s="11"/>
      <c r="N896" s="11"/>
    </row>
    <row r="897" spans="13:14" ht="14.25" customHeight="1" x14ac:dyDescent="0.35">
      <c r="M897" s="11"/>
      <c r="N897" s="11"/>
    </row>
    <row r="898" spans="13:14" ht="14.25" customHeight="1" x14ac:dyDescent="0.35">
      <c r="M898" s="11"/>
      <c r="N898" s="11"/>
    </row>
    <row r="899" spans="13:14" ht="14.25" customHeight="1" x14ac:dyDescent="0.35">
      <c r="M899" s="11"/>
      <c r="N899" s="11"/>
    </row>
    <row r="900" spans="13:14" ht="14.25" customHeight="1" x14ac:dyDescent="0.35">
      <c r="M900" s="11"/>
      <c r="N900" s="11"/>
    </row>
    <row r="901" spans="13:14" ht="14.25" customHeight="1" x14ac:dyDescent="0.35">
      <c r="M901" s="11"/>
      <c r="N901" s="11"/>
    </row>
    <row r="902" spans="13:14" ht="14.25" customHeight="1" x14ac:dyDescent="0.35">
      <c r="M902" s="11"/>
      <c r="N902" s="11"/>
    </row>
    <row r="903" spans="13:14" ht="14.25" customHeight="1" x14ac:dyDescent="0.35">
      <c r="M903" s="11"/>
      <c r="N903" s="11"/>
    </row>
    <row r="904" spans="13:14" ht="14.25" customHeight="1" x14ac:dyDescent="0.35">
      <c r="M904" s="11"/>
      <c r="N904" s="11"/>
    </row>
    <row r="905" spans="13:14" ht="14.25" customHeight="1" x14ac:dyDescent="0.35">
      <c r="M905" s="11"/>
      <c r="N905" s="11"/>
    </row>
    <row r="906" spans="13:14" ht="14.25" customHeight="1" x14ac:dyDescent="0.35">
      <c r="M906" s="11"/>
      <c r="N906" s="11"/>
    </row>
    <row r="907" spans="13:14" ht="14.25" customHeight="1" x14ac:dyDescent="0.35">
      <c r="M907" s="11"/>
      <c r="N907" s="11"/>
    </row>
    <row r="908" spans="13:14" ht="14.25" customHeight="1" x14ac:dyDescent="0.35">
      <c r="M908" s="11"/>
      <c r="N908" s="11"/>
    </row>
    <row r="909" spans="13:14" ht="14.25" customHeight="1" x14ac:dyDescent="0.35">
      <c r="M909" s="11"/>
      <c r="N909" s="11"/>
    </row>
    <row r="910" spans="13:14" ht="14.25" customHeight="1" x14ac:dyDescent="0.35">
      <c r="M910" s="11"/>
      <c r="N910" s="11"/>
    </row>
    <row r="911" spans="13:14" ht="14.25" customHeight="1" x14ac:dyDescent="0.35">
      <c r="M911" s="11"/>
      <c r="N911" s="11"/>
    </row>
    <row r="912" spans="13:14" ht="14.25" customHeight="1" x14ac:dyDescent="0.35">
      <c r="M912" s="11"/>
      <c r="N912" s="11"/>
    </row>
    <row r="913" spans="13:14" ht="14.25" customHeight="1" x14ac:dyDescent="0.35">
      <c r="M913" s="11"/>
      <c r="N913" s="11"/>
    </row>
    <row r="914" spans="13:14" ht="14.25" customHeight="1" x14ac:dyDescent="0.35">
      <c r="M914" s="11"/>
      <c r="N914" s="11"/>
    </row>
    <row r="915" spans="13:14" ht="14.25" customHeight="1" x14ac:dyDescent="0.35">
      <c r="M915" s="11"/>
      <c r="N915" s="11"/>
    </row>
    <row r="916" spans="13:14" ht="14.25" customHeight="1" x14ac:dyDescent="0.35">
      <c r="M916" s="11"/>
      <c r="N916" s="11"/>
    </row>
    <row r="917" spans="13:14" ht="14.25" customHeight="1" x14ac:dyDescent="0.35">
      <c r="M917" s="11"/>
      <c r="N917" s="11"/>
    </row>
    <row r="918" spans="13:14" ht="14.25" customHeight="1" x14ac:dyDescent="0.35">
      <c r="M918" s="11"/>
      <c r="N918" s="11"/>
    </row>
    <row r="919" spans="13:14" ht="14.25" customHeight="1" x14ac:dyDescent="0.35">
      <c r="M919" s="11"/>
      <c r="N919" s="11"/>
    </row>
    <row r="920" spans="13:14" ht="14.25" customHeight="1" x14ac:dyDescent="0.35">
      <c r="M920" s="11"/>
      <c r="N920" s="11"/>
    </row>
    <row r="921" spans="13:14" ht="14.25" customHeight="1" x14ac:dyDescent="0.35">
      <c r="M921" s="11"/>
      <c r="N921" s="11"/>
    </row>
    <row r="922" spans="13:14" ht="14.25" customHeight="1" x14ac:dyDescent="0.35">
      <c r="M922" s="11"/>
      <c r="N922" s="11"/>
    </row>
    <row r="923" spans="13:14" ht="14.25" customHeight="1" x14ac:dyDescent="0.35">
      <c r="M923" s="11"/>
      <c r="N923" s="11"/>
    </row>
    <row r="924" spans="13:14" ht="14.25" customHeight="1" x14ac:dyDescent="0.35">
      <c r="M924" s="11"/>
      <c r="N924" s="11"/>
    </row>
    <row r="925" spans="13:14" ht="14.25" customHeight="1" x14ac:dyDescent="0.35">
      <c r="M925" s="11"/>
      <c r="N925" s="11"/>
    </row>
    <row r="926" spans="13:14" ht="14.25" customHeight="1" x14ac:dyDescent="0.35">
      <c r="M926" s="11"/>
      <c r="N926" s="11"/>
    </row>
    <row r="927" spans="13:14" ht="14.25" customHeight="1" x14ac:dyDescent="0.35">
      <c r="M927" s="11"/>
      <c r="N927" s="11"/>
    </row>
    <row r="928" spans="13:14" ht="14.25" customHeight="1" x14ac:dyDescent="0.35">
      <c r="M928" s="11"/>
      <c r="N928" s="11"/>
    </row>
    <row r="929" spans="13:14" ht="14.25" customHeight="1" x14ac:dyDescent="0.35">
      <c r="M929" s="11"/>
      <c r="N929" s="11"/>
    </row>
    <row r="930" spans="13:14" ht="14.25" customHeight="1" x14ac:dyDescent="0.35">
      <c r="M930" s="11"/>
      <c r="N930" s="11"/>
    </row>
    <row r="931" spans="13:14" ht="14.25" customHeight="1" x14ac:dyDescent="0.35">
      <c r="M931" s="11"/>
      <c r="N931" s="11"/>
    </row>
    <row r="932" spans="13:14" ht="14.25" customHeight="1" x14ac:dyDescent="0.35">
      <c r="M932" s="11"/>
      <c r="N932" s="11"/>
    </row>
    <row r="933" spans="13:14" ht="14.25" customHeight="1" x14ac:dyDescent="0.35">
      <c r="M933" s="11"/>
      <c r="N933" s="11"/>
    </row>
    <row r="934" spans="13:14" ht="14.25" customHeight="1" x14ac:dyDescent="0.35">
      <c r="M934" s="11"/>
      <c r="N934" s="11"/>
    </row>
    <row r="935" spans="13:14" ht="14.25" customHeight="1" x14ac:dyDescent="0.35">
      <c r="M935" s="11"/>
      <c r="N935" s="11"/>
    </row>
    <row r="936" spans="13:14" ht="14.25" customHeight="1" x14ac:dyDescent="0.35">
      <c r="M936" s="11"/>
      <c r="N936" s="11"/>
    </row>
    <row r="937" spans="13:14" ht="14.25" customHeight="1" x14ac:dyDescent="0.35">
      <c r="M937" s="11"/>
      <c r="N937" s="11"/>
    </row>
    <row r="938" spans="13:14" ht="14.25" customHeight="1" x14ac:dyDescent="0.35">
      <c r="M938" s="11"/>
      <c r="N938" s="11"/>
    </row>
    <row r="939" spans="13:14" ht="14.25" customHeight="1" x14ac:dyDescent="0.35">
      <c r="M939" s="11"/>
      <c r="N939" s="11"/>
    </row>
    <row r="940" spans="13:14" ht="14.25" customHeight="1" x14ac:dyDescent="0.35">
      <c r="M940" s="11"/>
      <c r="N940" s="11"/>
    </row>
    <row r="941" spans="13:14" ht="14.25" customHeight="1" x14ac:dyDescent="0.35">
      <c r="M941" s="11"/>
      <c r="N941" s="11"/>
    </row>
    <row r="942" spans="13:14" ht="14.25" customHeight="1" x14ac:dyDescent="0.35">
      <c r="M942" s="11"/>
      <c r="N942" s="11"/>
    </row>
    <row r="943" spans="13:14" ht="14.25" customHeight="1" x14ac:dyDescent="0.35">
      <c r="M943" s="11"/>
      <c r="N943" s="11"/>
    </row>
    <row r="944" spans="13:14" ht="14.25" customHeight="1" x14ac:dyDescent="0.35">
      <c r="M944" s="11"/>
      <c r="N944" s="11"/>
    </row>
    <row r="945" spans="13:14" ht="14.25" customHeight="1" x14ac:dyDescent="0.35">
      <c r="M945" s="11"/>
      <c r="N945" s="11"/>
    </row>
    <row r="946" spans="13:14" ht="14.25" customHeight="1" x14ac:dyDescent="0.35">
      <c r="M946" s="11"/>
      <c r="N946" s="11"/>
    </row>
    <row r="947" spans="13:14" ht="14.25" customHeight="1" x14ac:dyDescent="0.35">
      <c r="M947" s="11"/>
      <c r="N947" s="11"/>
    </row>
    <row r="948" spans="13:14" ht="14.25" customHeight="1" x14ac:dyDescent="0.35">
      <c r="M948" s="11"/>
      <c r="N948" s="11"/>
    </row>
    <row r="949" spans="13:14" ht="14.25" customHeight="1" x14ac:dyDescent="0.35">
      <c r="M949" s="11"/>
      <c r="N949" s="11"/>
    </row>
    <row r="950" spans="13:14" ht="14.25" customHeight="1" x14ac:dyDescent="0.35">
      <c r="M950" s="11"/>
      <c r="N950" s="11"/>
    </row>
    <row r="951" spans="13:14" ht="14.25" customHeight="1" x14ac:dyDescent="0.35">
      <c r="M951" s="11"/>
      <c r="N951" s="11"/>
    </row>
    <row r="952" spans="13:14" ht="14.25" customHeight="1" x14ac:dyDescent="0.35">
      <c r="M952" s="11"/>
      <c r="N952" s="11"/>
    </row>
    <row r="953" spans="13:14" ht="14.25" customHeight="1" x14ac:dyDescent="0.35">
      <c r="M953" s="11"/>
      <c r="N953" s="11"/>
    </row>
    <row r="954" spans="13:14" ht="14.25" customHeight="1" x14ac:dyDescent="0.35">
      <c r="M954" s="11"/>
      <c r="N954" s="11"/>
    </row>
    <row r="955" spans="13:14" ht="14.25" customHeight="1" x14ac:dyDescent="0.35">
      <c r="M955" s="11"/>
      <c r="N955" s="11"/>
    </row>
    <row r="956" spans="13:14" ht="14.25" customHeight="1" x14ac:dyDescent="0.35">
      <c r="M956" s="11"/>
      <c r="N956" s="11"/>
    </row>
    <row r="957" spans="13:14" ht="14.25" customHeight="1" x14ac:dyDescent="0.35">
      <c r="M957" s="11"/>
      <c r="N957" s="11"/>
    </row>
    <row r="958" spans="13:14" ht="14.25" customHeight="1" x14ac:dyDescent="0.35">
      <c r="M958" s="11"/>
      <c r="N958" s="11"/>
    </row>
    <row r="959" spans="13:14" ht="14.25" customHeight="1" x14ac:dyDescent="0.35">
      <c r="M959" s="11"/>
      <c r="N959" s="11"/>
    </row>
    <row r="960" spans="13:14" ht="14.25" customHeight="1" x14ac:dyDescent="0.35">
      <c r="M960" s="11"/>
      <c r="N960" s="11"/>
    </row>
    <row r="961" spans="13:14" ht="14.25" customHeight="1" x14ac:dyDescent="0.35">
      <c r="M961" s="11"/>
      <c r="N961" s="11"/>
    </row>
    <row r="962" spans="13:14" ht="14.25" customHeight="1" x14ac:dyDescent="0.35">
      <c r="M962" s="11"/>
      <c r="N962" s="11"/>
    </row>
    <row r="963" spans="13:14" ht="14.25" customHeight="1" x14ac:dyDescent="0.35">
      <c r="M963" s="11"/>
      <c r="N963" s="11"/>
    </row>
    <row r="964" spans="13:14" ht="14.25" customHeight="1" x14ac:dyDescent="0.35">
      <c r="M964" s="11"/>
      <c r="N964" s="11"/>
    </row>
    <row r="965" spans="13:14" ht="14.25" customHeight="1" x14ac:dyDescent="0.35">
      <c r="M965" s="11"/>
      <c r="N965" s="11"/>
    </row>
    <row r="966" spans="13:14" ht="14.25" customHeight="1" x14ac:dyDescent="0.35">
      <c r="M966" s="11"/>
      <c r="N966" s="11"/>
    </row>
    <row r="967" spans="13:14" ht="14.25" customHeight="1" x14ac:dyDescent="0.35">
      <c r="M967" s="11"/>
      <c r="N967" s="11"/>
    </row>
    <row r="968" spans="13:14" ht="14.25" customHeight="1" x14ac:dyDescent="0.35">
      <c r="M968" s="11"/>
      <c r="N968" s="11"/>
    </row>
    <row r="969" spans="13:14" ht="14.25" customHeight="1" x14ac:dyDescent="0.35">
      <c r="M969" s="11"/>
      <c r="N969" s="11"/>
    </row>
    <row r="970" spans="13:14" ht="14.25" customHeight="1" x14ac:dyDescent="0.35">
      <c r="M970" s="11"/>
      <c r="N970" s="11"/>
    </row>
    <row r="971" spans="13:14" ht="14.25" customHeight="1" x14ac:dyDescent="0.35">
      <c r="M971" s="11"/>
      <c r="N971" s="11"/>
    </row>
    <row r="972" spans="13:14" ht="14.25" customHeight="1" x14ac:dyDescent="0.35">
      <c r="M972" s="11"/>
      <c r="N972" s="11"/>
    </row>
    <row r="973" spans="13:14" ht="14.25" customHeight="1" x14ac:dyDescent="0.35">
      <c r="M973" s="11"/>
      <c r="N973" s="11"/>
    </row>
    <row r="974" spans="13:14" ht="14.25" customHeight="1" x14ac:dyDescent="0.35">
      <c r="M974" s="11"/>
      <c r="N974" s="11"/>
    </row>
    <row r="975" spans="13:14" ht="14.25" customHeight="1" x14ac:dyDescent="0.35">
      <c r="M975" s="11"/>
      <c r="N975" s="11"/>
    </row>
    <row r="976" spans="13:14" ht="14.25" customHeight="1" x14ac:dyDescent="0.35">
      <c r="M976" s="11"/>
      <c r="N976" s="11"/>
    </row>
    <row r="977" spans="13:14" ht="14.25" customHeight="1" x14ac:dyDescent="0.35">
      <c r="M977" s="11"/>
      <c r="N977" s="11"/>
    </row>
    <row r="978" spans="13:14" ht="14.25" customHeight="1" x14ac:dyDescent="0.35">
      <c r="M978" s="11"/>
      <c r="N978" s="11"/>
    </row>
    <row r="979" spans="13:14" ht="14.25" customHeight="1" x14ac:dyDescent="0.35">
      <c r="M979" s="11"/>
      <c r="N979" s="11"/>
    </row>
    <row r="980" spans="13:14" ht="14.25" customHeight="1" x14ac:dyDescent="0.35">
      <c r="M980" s="11"/>
      <c r="N980" s="11"/>
    </row>
    <row r="981" spans="13:14" ht="14.25" customHeight="1" x14ac:dyDescent="0.35">
      <c r="M981" s="11"/>
      <c r="N981" s="11"/>
    </row>
    <row r="982" spans="13:14" ht="14.25" customHeight="1" x14ac:dyDescent="0.35">
      <c r="M982" s="11"/>
      <c r="N982" s="11"/>
    </row>
    <row r="983" spans="13:14" ht="14.25" customHeight="1" x14ac:dyDescent="0.35">
      <c r="M983" s="11"/>
      <c r="N983" s="11"/>
    </row>
    <row r="984" spans="13:14" ht="14.25" customHeight="1" x14ac:dyDescent="0.35">
      <c r="M984" s="11"/>
      <c r="N984" s="11"/>
    </row>
    <row r="985" spans="13:14" ht="14.25" customHeight="1" x14ac:dyDescent="0.35">
      <c r="M985" s="11"/>
      <c r="N985" s="11"/>
    </row>
    <row r="986" spans="13:14" ht="14.25" customHeight="1" x14ac:dyDescent="0.35">
      <c r="M986" s="11"/>
      <c r="N986" s="11"/>
    </row>
    <row r="987" spans="13:14" ht="14.25" customHeight="1" x14ac:dyDescent="0.35">
      <c r="M987" s="11"/>
      <c r="N987" s="11"/>
    </row>
    <row r="988" spans="13:14" ht="14.25" customHeight="1" x14ac:dyDescent="0.35">
      <c r="M988" s="11"/>
      <c r="N988" s="11"/>
    </row>
    <row r="989" spans="13:14" ht="14.25" customHeight="1" x14ac:dyDescent="0.35">
      <c r="M989" s="11"/>
      <c r="N989" s="11"/>
    </row>
    <row r="990" spans="13:14" ht="14.25" customHeight="1" x14ac:dyDescent="0.35">
      <c r="M990" s="11"/>
      <c r="N990" s="11"/>
    </row>
    <row r="991" spans="13:14" ht="14.25" customHeight="1" x14ac:dyDescent="0.35">
      <c r="M991" s="11"/>
      <c r="N991" s="11"/>
    </row>
    <row r="992" spans="13:14" ht="14.25" customHeight="1" x14ac:dyDescent="0.35">
      <c r="M992" s="11"/>
      <c r="N992" s="11"/>
    </row>
    <row r="993" spans="13:14" ht="14.25" customHeight="1" x14ac:dyDescent="0.35">
      <c r="M993" s="11"/>
      <c r="N993" s="11"/>
    </row>
    <row r="994" spans="13:14" ht="14.25" customHeight="1" x14ac:dyDescent="0.35">
      <c r="M994" s="11"/>
      <c r="N994" s="11"/>
    </row>
    <row r="995" spans="13:14" ht="14.25" customHeight="1" x14ac:dyDescent="0.35">
      <c r="M995" s="11"/>
      <c r="N995" s="11"/>
    </row>
    <row r="996" spans="13:14" ht="14.25" customHeight="1" x14ac:dyDescent="0.35">
      <c r="M996" s="11"/>
      <c r="N996" s="11"/>
    </row>
    <row r="997" spans="13:14" ht="14.25" customHeight="1" x14ac:dyDescent="0.35">
      <c r="M997" s="11"/>
      <c r="N997" s="11"/>
    </row>
    <row r="998" spans="13:14" ht="14.25" customHeight="1" x14ac:dyDescent="0.35">
      <c r="M998" s="11"/>
      <c r="N998" s="11"/>
    </row>
    <row r="999" spans="13:14" ht="14.25" customHeight="1" x14ac:dyDescent="0.35">
      <c r="M999" s="11"/>
      <c r="N999" s="11"/>
    </row>
    <row r="1000" spans="13:14" ht="14.25" customHeight="1" x14ac:dyDescent="0.35">
      <c r="M1000" s="11"/>
      <c r="N1000" s="11"/>
    </row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7"/>
  <sheetViews>
    <sheetView workbookViewId="0"/>
  </sheetViews>
  <sheetFormatPr defaultColWidth="12.6328125" defaultRowHeight="15" customHeight="1" x14ac:dyDescent="0.35"/>
  <cols>
    <col min="6" max="6" width="16.90625" customWidth="1"/>
    <col min="7" max="7" width="26" customWidth="1"/>
    <col min="8" max="9" width="15.453125" customWidth="1"/>
    <col min="10" max="10" width="16.36328125" customWidth="1"/>
  </cols>
  <sheetData>
    <row r="1" spans="1:10" x14ac:dyDescent="0.35">
      <c r="A1" s="27" t="s">
        <v>0</v>
      </c>
      <c r="B1" s="27" t="s">
        <v>1</v>
      </c>
      <c r="C1" s="27" t="s">
        <v>2</v>
      </c>
      <c r="D1" s="27" t="s">
        <v>30</v>
      </c>
      <c r="F1" s="28" t="s">
        <v>31</v>
      </c>
      <c r="G1" s="28" t="s">
        <v>32</v>
      </c>
      <c r="H1" s="28" t="s">
        <v>33</v>
      </c>
      <c r="I1" s="28" t="s">
        <v>34</v>
      </c>
      <c r="J1" s="28" t="s">
        <v>35</v>
      </c>
    </row>
    <row r="2" spans="1:10" x14ac:dyDescent="0.35">
      <c r="A2" s="18">
        <v>1</v>
      </c>
      <c r="B2" s="18">
        <v>1</v>
      </c>
      <c r="C2" s="18">
        <v>1</v>
      </c>
      <c r="D2" s="21">
        <v>5086</v>
      </c>
      <c r="F2" s="18">
        <v>3345.07</v>
      </c>
      <c r="H2" s="21">
        <v>9603</v>
      </c>
      <c r="I2" s="21">
        <v>6500</v>
      </c>
      <c r="J2" s="21">
        <v>3107</v>
      </c>
    </row>
    <row r="3" spans="1:10" x14ac:dyDescent="0.35">
      <c r="A3" s="18">
        <v>1</v>
      </c>
      <c r="B3" s="18">
        <v>2</v>
      </c>
      <c r="C3" s="18">
        <v>2</v>
      </c>
      <c r="D3" s="21">
        <v>10171</v>
      </c>
      <c r="F3" s="18">
        <v>6743.8</v>
      </c>
      <c r="H3" s="21">
        <v>9151</v>
      </c>
      <c r="I3" s="21">
        <v>7231</v>
      </c>
      <c r="J3" s="21">
        <v>7938</v>
      </c>
    </row>
    <row r="4" spans="1:10" x14ac:dyDescent="0.35">
      <c r="A4" s="18">
        <v>1</v>
      </c>
      <c r="B4" s="18">
        <v>3</v>
      </c>
      <c r="C4" s="18">
        <v>3</v>
      </c>
      <c r="D4" s="21">
        <v>6781</v>
      </c>
      <c r="F4" s="18">
        <v>4528.3</v>
      </c>
      <c r="H4" s="21">
        <v>9253</v>
      </c>
      <c r="I4" s="21">
        <v>8427</v>
      </c>
      <c r="J4" s="21">
        <v>6160</v>
      </c>
    </row>
    <row r="5" spans="1:10" x14ac:dyDescent="0.35">
      <c r="A5" s="18">
        <v>1</v>
      </c>
      <c r="B5" s="18">
        <v>4</v>
      </c>
      <c r="C5" s="18">
        <v>4</v>
      </c>
      <c r="D5" s="21">
        <v>11866</v>
      </c>
      <c r="F5" s="18">
        <v>7975.61</v>
      </c>
      <c r="G5" s="21">
        <v>8476</v>
      </c>
      <c r="H5" s="21">
        <v>9006</v>
      </c>
      <c r="I5" s="21">
        <v>9147</v>
      </c>
      <c r="J5" s="21">
        <v>11873</v>
      </c>
    </row>
    <row r="6" spans="1:10" x14ac:dyDescent="0.35">
      <c r="A6" s="18">
        <v>2</v>
      </c>
      <c r="B6" s="18">
        <v>1</v>
      </c>
      <c r="C6" s="18">
        <v>5</v>
      </c>
      <c r="D6" s="21">
        <v>6438</v>
      </c>
      <c r="F6" s="18">
        <v>4351.3100000000004</v>
      </c>
      <c r="G6" s="21">
        <v>8814</v>
      </c>
      <c r="H6" s="21">
        <v>9292</v>
      </c>
      <c r="I6" s="21">
        <v>10332</v>
      </c>
      <c r="J6" s="21">
        <v>6518</v>
      </c>
    </row>
    <row r="7" spans="1:10" x14ac:dyDescent="0.35">
      <c r="A7" s="18">
        <v>2</v>
      </c>
      <c r="B7" s="18">
        <v>2</v>
      </c>
      <c r="C7" s="18">
        <v>6</v>
      </c>
      <c r="D7" s="21">
        <v>12875</v>
      </c>
      <c r="F7" s="18">
        <v>8630.52</v>
      </c>
      <c r="G7" s="21">
        <v>9490</v>
      </c>
      <c r="H7" s="21">
        <v>9006</v>
      </c>
      <c r="I7" s="21">
        <v>10816</v>
      </c>
      <c r="J7" s="21">
        <v>12978</v>
      </c>
    </row>
    <row r="8" spans="1:10" x14ac:dyDescent="0.35">
      <c r="A8" s="18">
        <v>2</v>
      </c>
      <c r="B8" s="18">
        <v>3</v>
      </c>
      <c r="C8" s="18">
        <v>7</v>
      </c>
      <c r="D8" s="21">
        <v>8583</v>
      </c>
      <c r="F8" s="18">
        <v>5712.37</v>
      </c>
      <c r="G8" s="21">
        <v>9941</v>
      </c>
      <c r="H8" s="21">
        <v>9393</v>
      </c>
      <c r="I8" s="21">
        <v>11916</v>
      </c>
      <c r="J8" s="21">
        <v>8761</v>
      </c>
    </row>
    <row r="9" spans="1:10" x14ac:dyDescent="0.35">
      <c r="A9" s="18">
        <v>2</v>
      </c>
      <c r="B9" s="18">
        <v>4</v>
      </c>
      <c r="C9" s="18">
        <v>8</v>
      </c>
      <c r="D9" s="21">
        <v>15021</v>
      </c>
      <c r="F9" s="18">
        <v>9933.1200000000008</v>
      </c>
      <c r="G9" s="21">
        <v>10729</v>
      </c>
      <c r="H9" s="21">
        <v>9312</v>
      </c>
      <c r="I9" s="21">
        <v>12443</v>
      </c>
      <c r="J9" s="21">
        <v>15586</v>
      </c>
    </row>
    <row r="10" spans="1:10" x14ac:dyDescent="0.35">
      <c r="A10" s="18">
        <v>3</v>
      </c>
      <c r="B10" s="18">
        <v>1</v>
      </c>
      <c r="C10" s="18">
        <v>9</v>
      </c>
      <c r="F10" s="18">
        <v>5357.54</v>
      </c>
      <c r="G10" s="21">
        <v>10729</v>
      </c>
      <c r="H10" s="21">
        <v>9883</v>
      </c>
      <c r="I10" s="21">
        <v>13587</v>
      </c>
      <c r="J10" s="21">
        <v>8261</v>
      </c>
    </row>
    <row r="11" spans="1:10" x14ac:dyDescent="0.35">
      <c r="A11" s="18">
        <v>3</v>
      </c>
      <c r="B11" s="18">
        <v>2</v>
      </c>
      <c r="C11" s="18">
        <v>10</v>
      </c>
      <c r="F11" s="18">
        <v>10517.23</v>
      </c>
      <c r="G11" s="21">
        <v>10729</v>
      </c>
      <c r="H11" s="18">
        <v>1844</v>
      </c>
      <c r="I11" s="21">
        <v>14474</v>
      </c>
      <c r="J11" s="21">
        <v>16216</v>
      </c>
    </row>
    <row r="12" spans="1:10" x14ac:dyDescent="0.35">
      <c r="A12" s="18">
        <v>3</v>
      </c>
      <c r="B12" s="18">
        <v>3</v>
      </c>
      <c r="C12" s="18">
        <v>11</v>
      </c>
      <c r="F12" s="18">
        <v>6896.44</v>
      </c>
      <c r="G12" s="21">
        <v>10729</v>
      </c>
      <c r="H12" s="18">
        <v>1844</v>
      </c>
      <c r="I12" s="21">
        <v>15360</v>
      </c>
      <c r="J12" s="21">
        <v>10767</v>
      </c>
    </row>
    <row r="13" spans="1:10" x14ac:dyDescent="0.35">
      <c r="A13" s="18">
        <v>3</v>
      </c>
      <c r="B13" s="18">
        <v>4</v>
      </c>
      <c r="C13" s="18">
        <v>12</v>
      </c>
      <c r="F13" s="18">
        <v>11890.63</v>
      </c>
      <c r="G13" s="21">
        <v>10729</v>
      </c>
      <c r="H13" s="18">
        <v>1844</v>
      </c>
      <c r="I13" s="21">
        <v>16247</v>
      </c>
      <c r="J13" s="21">
        <v>18944</v>
      </c>
    </row>
    <row r="14" spans="1:10" x14ac:dyDescent="0.35">
      <c r="A14" s="18">
        <v>4</v>
      </c>
      <c r="B14" s="18">
        <v>1</v>
      </c>
      <c r="C14" s="18">
        <v>13</v>
      </c>
      <c r="F14" s="18">
        <v>6363.77</v>
      </c>
      <c r="G14" s="21">
        <v>10729</v>
      </c>
      <c r="H14" s="18">
        <v>1844</v>
      </c>
      <c r="I14" s="21">
        <v>17134</v>
      </c>
      <c r="J14" s="21">
        <v>10119</v>
      </c>
    </row>
    <row r="15" spans="1:10" x14ac:dyDescent="0.35">
      <c r="A15" s="18">
        <v>4</v>
      </c>
      <c r="B15" s="18">
        <v>2</v>
      </c>
      <c r="C15" s="18">
        <v>14</v>
      </c>
      <c r="F15" s="18">
        <v>12403.95</v>
      </c>
      <c r="G15" s="21">
        <v>10729</v>
      </c>
      <c r="H15" s="18">
        <v>1844</v>
      </c>
      <c r="I15" s="21">
        <v>18020</v>
      </c>
      <c r="J15" s="21">
        <v>19669</v>
      </c>
    </row>
    <row r="16" spans="1:10" x14ac:dyDescent="0.35">
      <c r="A16" s="18">
        <v>4</v>
      </c>
      <c r="B16" s="18">
        <v>3</v>
      </c>
      <c r="C16" s="18">
        <v>15</v>
      </c>
      <c r="F16" s="18">
        <v>8080.51</v>
      </c>
      <c r="G16" s="21">
        <v>10729</v>
      </c>
      <c r="H16" s="18">
        <v>1844</v>
      </c>
      <c r="I16" s="21">
        <v>18907</v>
      </c>
      <c r="J16" s="21">
        <v>12945</v>
      </c>
    </row>
    <row r="17" spans="1:10" x14ac:dyDescent="0.35">
      <c r="A17" s="18">
        <v>4</v>
      </c>
      <c r="B17" s="18">
        <v>4</v>
      </c>
      <c r="C17" s="18">
        <v>16</v>
      </c>
      <c r="F17" s="18">
        <v>13848.15</v>
      </c>
      <c r="H17" s="18">
        <v>1844</v>
      </c>
      <c r="I17" s="21">
        <v>19793</v>
      </c>
      <c r="J17" s="21">
        <v>22591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7"/>
  <sheetViews>
    <sheetView workbookViewId="0"/>
  </sheetViews>
  <sheetFormatPr defaultColWidth="12.6328125" defaultRowHeight="15" customHeight="1" x14ac:dyDescent="0.35"/>
  <cols>
    <col min="1" max="1" width="17.90625" customWidth="1"/>
    <col min="2" max="2" width="14" customWidth="1"/>
    <col min="3" max="3" width="15.90625" customWidth="1"/>
    <col min="4" max="5" width="17.453125" customWidth="1"/>
    <col min="6" max="6" width="14.08984375" customWidth="1"/>
    <col min="7" max="7" width="15" customWidth="1"/>
    <col min="8" max="8" width="15.90625" customWidth="1"/>
  </cols>
  <sheetData>
    <row r="1" spans="1:10" x14ac:dyDescent="0.35">
      <c r="A1" s="31" t="s">
        <v>37</v>
      </c>
      <c r="B1" s="1" t="s">
        <v>9</v>
      </c>
      <c r="C1" s="1" t="s">
        <v>21</v>
      </c>
      <c r="D1" s="1" t="s">
        <v>23</v>
      </c>
      <c r="E1" s="1" t="s">
        <v>12</v>
      </c>
      <c r="F1" s="14" t="s">
        <v>13</v>
      </c>
      <c r="G1" s="14" t="s">
        <v>14</v>
      </c>
      <c r="H1" s="1" t="s">
        <v>24</v>
      </c>
      <c r="I1" s="1" t="s">
        <v>16</v>
      </c>
      <c r="J1" s="1" t="s">
        <v>25</v>
      </c>
    </row>
    <row r="2" spans="1:10" x14ac:dyDescent="0.35">
      <c r="A2" s="32" t="s">
        <v>38</v>
      </c>
      <c r="B2" s="33">
        <v>-5087.8795406568424</v>
      </c>
      <c r="C2" s="33">
        <v>11435413.933378398</v>
      </c>
      <c r="D2" s="33">
        <v>5087.8795406568424</v>
      </c>
      <c r="E2" s="33">
        <v>3200.1132538931515</v>
      </c>
      <c r="F2" s="33">
        <v>-33.871776450681331</v>
      </c>
      <c r="G2" s="33">
        <v>0.33871776450681329</v>
      </c>
      <c r="H2" s="33">
        <v>0.33328586092361268</v>
      </c>
      <c r="I2" s="33">
        <v>-25600.906031145212</v>
      </c>
      <c r="J2" s="33">
        <v>-8</v>
      </c>
    </row>
    <row r="3" spans="1:10" x14ac:dyDescent="0.35">
      <c r="A3" s="32" t="s">
        <v>39</v>
      </c>
      <c r="B3" s="33">
        <v>-5080.5</v>
      </c>
      <c r="C3" s="33">
        <v>5080.5</v>
      </c>
      <c r="D3" s="33">
        <v>11819823.5625</v>
      </c>
      <c r="E3" s="33">
        <v>3021.625</v>
      </c>
      <c r="F3" s="33">
        <v>-0.33822648292390656</v>
      </c>
      <c r="G3" s="33">
        <v>0.33822648292390656</v>
      </c>
      <c r="H3" s="33">
        <v>0.26896897566429956</v>
      </c>
      <c r="I3" s="33">
        <v>-6196.5</v>
      </c>
      <c r="J3" s="33">
        <v>-2.0507177429363339</v>
      </c>
    </row>
    <row r="4" spans="1:10" x14ac:dyDescent="0.35">
      <c r="A4" s="32" t="s">
        <v>40</v>
      </c>
      <c r="B4" s="33">
        <v>-5708.7551490375008</v>
      </c>
      <c r="C4" s="33">
        <v>5708.7551490375008</v>
      </c>
      <c r="D4" s="33">
        <v>11511054.232488155</v>
      </c>
      <c r="E4" s="33">
        <v>3013.7831996140626</v>
      </c>
      <c r="F4" s="33">
        <v>-0.38005160435640112</v>
      </c>
      <c r="G4" s="33">
        <v>0.38005160435640112</v>
      </c>
      <c r="H4" s="33">
        <v>0.35151604646320422</v>
      </c>
      <c r="I4" s="33">
        <v>-2804.9536586625036</v>
      </c>
      <c r="J4" s="33">
        <v>-0.93070850584796505</v>
      </c>
    </row>
    <row r="5" spans="1:10" x14ac:dyDescent="0.35">
      <c r="A5" s="32" t="s">
        <v>41</v>
      </c>
      <c r="B5" s="33">
        <v>-2577.8266631361766</v>
      </c>
      <c r="C5" s="33">
        <v>2577.8266631361766</v>
      </c>
      <c r="D5" s="33">
        <v>7236967.3006023718</v>
      </c>
      <c r="E5" s="33">
        <v>2572.7405192342467</v>
      </c>
      <c r="F5" s="33">
        <v>-0.17161485008562524</v>
      </c>
      <c r="G5" s="33">
        <v>0.17161485008562524</v>
      </c>
      <c r="H5" s="33">
        <v>0.29544352359334641</v>
      </c>
      <c r="I5" s="33">
        <v>-9.5450462778635483</v>
      </c>
      <c r="J5" s="33">
        <v>-3.7100695567637526E-3</v>
      </c>
    </row>
    <row r="6" spans="1:10" x14ac:dyDescent="0.35">
      <c r="A6" s="32" t="s">
        <v>42</v>
      </c>
      <c r="B6" s="33">
        <v>565.13716028083945</v>
      </c>
      <c r="C6" s="33">
        <v>565.13716028083945</v>
      </c>
      <c r="D6" s="33">
        <v>1206990.5034242184</v>
      </c>
      <c r="E6" s="33">
        <v>720.73446026078204</v>
      </c>
      <c r="F6" s="33">
        <v>3.7623138291780801E-2</v>
      </c>
      <c r="G6" s="33">
        <v>3.7623138291780801E-2</v>
      </c>
      <c r="H6" s="33">
        <v>9.744993115004047E-2</v>
      </c>
      <c r="I6" s="33">
        <v>-3899.3249882065993</v>
      </c>
      <c r="J6" s="33">
        <v>-5.4102102829878751</v>
      </c>
    </row>
    <row r="12" spans="1:10" x14ac:dyDescent="0.35">
      <c r="A12" s="34"/>
      <c r="B12" s="4"/>
      <c r="C12" s="4"/>
    </row>
    <row r="13" spans="1:10" x14ac:dyDescent="0.35">
      <c r="A13" s="32"/>
      <c r="B13" s="33"/>
      <c r="C13" s="33"/>
    </row>
    <row r="14" spans="1:10" x14ac:dyDescent="0.35">
      <c r="A14" s="32"/>
      <c r="B14" s="33"/>
      <c r="C14" s="33"/>
    </row>
    <row r="15" spans="1:10" x14ac:dyDescent="0.35">
      <c r="A15" s="32"/>
      <c r="B15" s="33"/>
      <c r="C15" s="33"/>
    </row>
    <row r="16" spans="1:10" x14ac:dyDescent="0.35">
      <c r="A16" s="32"/>
      <c r="B16" s="33"/>
      <c r="C16" s="33"/>
    </row>
    <row r="17" spans="1:3" x14ac:dyDescent="0.35">
      <c r="A17" s="32"/>
      <c r="B17" s="33"/>
      <c r="C17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Winter</vt:lpstr>
      <vt:lpstr>Static Method</vt:lpstr>
      <vt:lpstr>Moving Average</vt:lpstr>
      <vt:lpstr>Simple Exponential Smoothing</vt:lpstr>
      <vt:lpstr>Holt</vt:lpstr>
      <vt:lpstr>AIO</vt:lpstr>
      <vt:lpstr>Error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gpothula</cp:lastModifiedBy>
  <dcterms:modified xsi:type="dcterms:W3CDTF">2026-09-29T19:43:17Z</dcterms:modified>
</cp:coreProperties>
</file>