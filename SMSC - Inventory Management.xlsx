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reeshma\Downloads\"/>
    </mc:Choice>
  </mc:AlternateContent>
  <xr:revisionPtr revIDLastSave="0" documentId="13_ncr:1_{512A7CAF-CA50-415B-9BE3-F7834DB64778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Cycle Inventory" sheetId="1" r:id="rId1"/>
    <sheet name="Safety Inventory" sheetId="2" r:id="rId2"/>
    <sheet name="Holding Cos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3" l="1"/>
  <c r="H20" i="3" s="1"/>
  <c r="F19" i="3"/>
  <c r="H19" i="3" s="1"/>
  <c r="F18" i="3"/>
  <c r="H18" i="3" s="1"/>
  <c r="F17" i="3"/>
  <c r="H17" i="3" s="1"/>
  <c r="F15" i="3"/>
  <c r="H15" i="3" s="1"/>
  <c r="F14" i="3"/>
  <c r="H14" i="3" s="1"/>
  <c r="F13" i="3"/>
  <c r="H13" i="3" s="1"/>
  <c r="F12" i="3"/>
  <c r="H12" i="3" s="1"/>
  <c r="F10" i="3"/>
  <c r="H10" i="3" s="1"/>
  <c r="F9" i="3"/>
  <c r="H9" i="3" s="1"/>
  <c r="F8" i="3"/>
  <c r="H8" i="3" s="1"/>
  <c r="F7" i="3"/>
  <c r="H7" i="3" s="1"/>
  <c r="F5" i="3"/>
  <c r="H5" i="3" s="1"/>
  <c r="F4" i="3"/>
  <c r="H4" i="3" s="1"/>
  <c r="F3" i="3"/>
  <c r="H3" i="3" s="1"/>
  <c r="F2" i="3"/>
  <c r="H2" i="3" s="1"/>
  <c r="J20" i="2"/>
  <c r="H20" i="2"/>
  <c r="G20" i="2"/>
  <c r="O19" i="2"/>
  <c r="K19" i="2"/>
  <c r="J19" i="2"/>
  <c r="H19" i="2"/>
  <c r="M19" i="2" s="1"/>
  <c r="Q19" i="2" s="1"/>
  <c r="R19" i="2" s="1"/>
  <c r="G19" i="2"/>
  <c r="M18" i="2"/>
  <c r="O18" i="2" s="1"/>
  <c r="K18" i="2"/>
  <c r="H18" i="2"/>
  <c r="G18" i="2"/>
  <c r="J18" i="2" s="1"/>
  <c r="N17" i="2"/>
  <c r="M17" i="2"/>
  <c r="H17" i="2"/>
  <c r="K17" i="2" s="1"/>
  <c r="G17" i="2"/>
  <c r="J17" i="2" s="1"/>
  <c r="J15" i="2"/>
  <c r="H15" i="2"/>
  <c r="G15" i="2"/>
  <c r="K14" i="2"/>
  <c r="J14" i="2"/>
  <c r="N14" i="2" s="1"/>
  <c r="H14" i="2"/>
  <c r="M14" i="2" s="1"/>
  <c r="Q14" i="2" s="1"/>
  <c r="R14" i="2" s="1"/>
  <c r="G14" i="2"/>
  <c r="Q13" i="2"/>
  <c r="R13" i="2" s="1"/>
  <c r="M13" i="2"/>
  <c r="O13" i="2" s="1"/>
  <c r="K13" i="2"/>
  <c r="H13" i="2"/>
  <c r="G13" i="2"/>
  <c r="J13" i="2" s="1"/>
  <c r="N13" i="2" s="1"/>
  <c r="H12" i="2"/>
  <c r="K12" i="2" s="1"/>
  <c r="G12" i="2"/>
  <c r="J12" i="2" s="1"/>
  <c r="J10" i="2"/>
  <c r="H10" i="2"/>
  <c r="G10" i="2"/>
  <c r="O9" i="2"/>
  <c r="K9" i="2"/>
  <c r="J9" i="2"/>
  <c r="H9" i="2"/>
  <c r="M9" i="2" s="1"/>
  <c r="Q9" i="2" s="1"/>
  <c r="R9" i="2" s="1"/>
  <c r="G9" i="2"/>
  <c r="M8" i="2"/>
  <c r="O8" i="2" s="1"/>
  <c r="K8" i="2"/>
  <c r="H8" i="2"/>
  <c r="G8" i="2"/>
  <c r="J8" i="2" s="1"/>
  <c r="N7" i="2"/>
  <c r="M7" i="2"/>
  <c r="H7" i="2"/>
  <c r="K7" i="2" s="1"/>
  <c r="G7" i="2"/>
  <c r="J7" i="2" s="1"/>
  <c r="J5" i="2"/>
  <c r="H5" i="2"/>
  <c r="G5" i="2"/>
  <c r="K4" i="2"/>
  <c r="J4" i="2"/>
  <c r="N4" i="2" s="1"/>
  <c r="H4" i="2"/>
  <c r="M4" i="2" s="1"/>
  <c r="Q4" i="2" s="1"/>
  <c r="R4" i="2" s="1"/>
  <c r="G4" i="2"/>
  <c r="Q3" i="2"/>
  <c r="R3" i="2" s="1"/>
  <c r="M3" i="2"/>
  <c r="O3" i="2" s="1"/>
  <c r="K3" i="2"/>
  <c r="H3" i="2"/>
  <c r="G3" i="2"/>
  <c r="J3" i="2" s="1"/>
  <c r="N3" i="2" s="1"/>
  <c r="H2" i="2"/>
  <c r="K2" i="2" s="1"/>
  <c r="G2" i="2"/>
  <c r="J2" i="2" s="1"/>
  <c r="J20" i="1"/>
  <c r="I20" i="1"/>
  <c r="H20" i="1"/>
  <c r="K20" i="1" s="1"/>
  <c r="L20" i="1" s="1"/>
  <c r="G20" i="1"/>
  <c r="J19" i="1"/>
  <c r="G19" i="1"/>
  <c r="I19" i="1" s="1"/>
  <c r="I18" i="1"/>
  <c r="H18" i="1"/>
  <c r="K18" i="1" s="1"/>
  <c r="L18" i="1" s="1"/>
  <c r="G18" i="1"/>
  <c r="J18" i="1" s="1"/>
  <c r="J17" i="1"/>
  <c r="G17" i="1"/>
  <c r="I17" i="1" s="1"/>
  <c r="I15" i="1"/>
  <c r="H15" i="1"/>
  <c r="K15" i="1" s="1"/>
  <c r="L15" i="1" s="1"/>
  <c r="G15" i="1"/>
  <c r="J15" i="1" s="1"/>
  <c r="J14" i="1"/>
  <c r="G14" i="1"/>
  <c r="I14" i="1" s="1"/>
  <c r="I13" i="1"/>
  <c r="H13" i="1"/>
  <c r="K13" i="1" s="1"/>
  <c r="L13" i="1" s="1"/>
  <c r="G13" i="1"/>
  <c r="J13" i="1" s="1"/>
  <c r="J12" i="1"/>
  <c r="G12" i="1"/>
  <c r="I12" i="1" s="1"/>
  <c r="I10" i="1"/>
  <c r="H10" i="1"/>
  <c r="K10" i="1" s="1"/>
  <c r="L10" i="1" s="1"/>
  <c r="G10" i="1"/>
  <c r="J10" i="1" s="1"/>
  <c r="J9" i="1"/>
  <c r="G9" i="1"/>
  <c r="I9" i="1" s="1"/>
  <c r="I8" i="1"/>
  <c r="H8" i="1"/>
  <c r="K8" i="1" s="1"/>
  <c r="L8" i="1" s="1"/>
  <c r="G8" i="1"/>
  <c r="J8" i="1" s="1"/>
  <c r="J7" i="1"/>
  <c r="G7" i="1"/>
  <c r="I7" i="1" s="1"/>
  <c r="I5" i="1"/>
  <c r="H5" i="1"/>
  <c r="K5" i="1" s="1"/>
  <c r="L5" i="1" s="1"/>
  <c r="G5" i="1"/>
  <c r="J5" i="1" s="1"/>
  <c r="J4" i="1"/>
  <c r="G4" i="1"/>
  <c r="I4" i="1" s="1"/>
  <c r="I3" i="1"/>
  <c r="H3" i="1"/>
  <c r="K3" i="1" s="1"/>
  <c r="L3" i="1" s="1"/>
  <c r="G3" i="1"/>
  <c r="J3" i="1" s="1"/>
  <c r="J2" i="1"/>
  <c r="G2" i="1"/>
  <c r="I2" i="1" s="1"/>
  <c r="M5" i="2" l="1"/>
  <c r="K5" i="2"/>
  <c r="M12" i="2"/>
  <c r="N12" i="2" s="1"/>
  <c r="M2" i="2"/>
  <c r="N2" i="2" s="1"/>
  <c r="H2" i="1"/>
  <c r="K2" i="1" s="1"/>
  <c r="L2" i="1" s="1"/>
  <c r="H4" i="1"/>
  <c r="K4" i="1" s="1"/>
  <c r="L4" i="1" s="1"/>
  <c r="H7" i="1"/>
  <c r="K7" i="1" s="1"/>
  <c r="L7" i="1" s="1"/>
  <c r="H9" i="1"/>
  <c r="K9" i="1" s="1"/>
  <c r="L9" i="1" s="1"/>
  <c r="H12" i="1"/>
  <c r="K12" i="1" s="1"/>
  <c r="L12" i="1" s="1"/>
  <c r="H14" i="1"/>
  <c r="K14" i="1" s="1"/>
  <c r="L14" i="1" s="1"/>
  <c r="H17" i="1"/>
  <c r="K17" i="1" s="1"/>
  <c r="L17" i="1" s="1"/>
  <c r="H19" i="1"/>
  <c r="K19" i="1" s="1"/>
  <c r="L19" i="1" s="1"/>
  <c r="O4" i="2"/>
  <c r="N8" i="2"/>
  <c r="Q8" i="2"/>
  <c r="R8" i="2" s="1"/>
  <c r="N9" i="2"/>
  <c r="O14" i="2"/>
  <c r="N18" i="2"/>
  <c r="Q18" i="2"/>
  <c r="R18" i="2" s="1"/>
  <c r="N19" i="2"/>
  <c r="M15" i="2"/>
  <c r="K15" i="2"/>
  <c r="Q7" i="2"/>
  <c r="R7" i="2" s="1"/>
  <c r="O7" i="2"/>
  <c r="M10" i="2"/>
  <c r="K10" i="2"/>
  <c r="Q17" i="2"/>
  <c r="R17" i="2" s="1"/>
  <c r="O17" i="2"/>
  <c r="M20" i="2"/>
  <c r="K20" i="2"/>
  <c r="Q5" i="2" l="1"/>
  <c r="R5" i="2" s="1"/>
  <c r="N5" i="2"/>
  <c r="O5" i="2"/>
  <c r="Q20" i="2"/>
  <c r="R20" i="2" s="1"/>
  <c r="O20" i="2"/>
  <c r="N20" i="2"/>
  <c r="Q15" i="2"/>
  <c r="R15" i="2" s="1"/>
  <c r="N15" i="2"/>
  <c r="O15" i="2"/>
  <c r="Q12" i="2"/>
  <c r="R12" i="2" s="1"/>
  <c r="O12" i="2"/>
  <c r="Q10" i="2"/>
  <c r="R10" i="2" s="1"/>
  <c r="O10" i="2"/>
  <c r="Q2" i="2"/>
  <c r="R2" i="2" s="1"/>
  <c r="O2" i="2"/>
  <c r="N1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tc={4c6d58ad-0a68-4f43-b893-514e213704ff}</author>
  </authors>
  <commentList>
    <comment ref="I2" authorId="0" shapeId="0" xr:uid="{4C6D58AD-0A68-4F43-B893-514E213704FF}">
      <text>
        <t>[Threaded comment]
Your version of Excel allows you to read this threaded comment; however, any edits to it will get removed if the file is opened in a newer version of Excel. Learn more: https://go.microsoft.com/fwlink/?linkid=870924
Comment:
    Lead times were curated based on information regarding our 3rd party sourcing (AKA real lead times based on website info).</t>
      </text>
    </comment>
  </commentList>
</comments>
</file>

<file path=xl/sharedStrings.xml><?xml version="1.0" encoding="utf-8"?>
<sst xmlns="http://schemas.openxmlformats.org/spreadsheetml/2006/main" count="98" uniqueCount="35">
  <si>
    <t xml:space="preserve">Year </t>
  </si>
  <si>
    <t>Annual Demand, D</t>
  </si>
  <si>
    <t>Sub system / Finished product</t>
  </si>
  <si>
    <t>Unit cost, C</t>
  </si>
  <si>
    <t>Holding cost, h</t>
  </si>
  <si>
    <t>Shipping cost, S</t>
  </si>
  <si>
    <r>
      <rPr>
        <b/>
        <sz val="10"/>
        <color theme="1"/>
        <rFont val="Arial"/>
        <family val="2"/>
      </rPr>
      <t>Cycle Inventory, Q</t>
    </r>
    <r>
      <rPr>
        <b/>
        <sz val="7"/>
        <color theme="1"/>
        <rFont val="Arial"/>
        <family val="2"/>
      </rPr>
      <t>L</t>
    </r>
    <r>
      <rPr>
        <b/>
        <sz val="10"/>
        <color theme="1"/>
        <rFont val="Arial"/>
        <family val="2"/>
      </rPr>
      <t>/2</t>
    </r>
  </si>
  <si>
    <r>
      <rPr>
        <b/>
        <sz val="10"/>
        <color theme="1"/>
        <rFont val="Arial"/>
        <family val="2"/>
      </rPr>
      <t>Mean weekly demand, D</t>
    </r>
    <r>
      <rPr>
        <b/>
        <sz val="7"/>
        <color theme="1"/>
        <rFont val="Arial"/>
        <family val="2"/>
      </rPr>
      <t>W</t>
    </r>
  </si>
  <si>
    <r>
      <rPr>
        <b/>
        <sz val="10"/>
        <color theme="1"/>
        <rFont val="Arial"/>
        <family val="2"/>
      </rPr>
      <t>Optimal Lot Size, Q</t>
    </r>
    <r>
      <rPr>
        <b/>
        <sz val="7"/>
        <color theme="1"/>
        <rFont val="Arial"/>
        <family val="2"/>
      </rPr>
      <t>L</t>
    </r>
    <r>
      <rPr>
        <b/>
        <sz val="10"/>
        <color theme="1"/>
        <rFont val="Arial"/>
        <family val="2"/>
      </rPr>
      <t>*</t>
    </r>
  </si>
  <si>
    <r>
      <rPr>
        <b/>
        <sz val="10"/>
        <color theme="1"/>
        <rFont val="Arial"/>
        <family val="2"/>
      </rPr>
      <t>Std dev of weekly demand, σ</t>
    </r>
    <r>
      <rPr>
        <b/>
        <sz val="6"/>
        <color theme="1"/>
        <rFont val="Arial"/>
        <family val="2"/>
      </rPr>
      <t>W</t>
    </r>
    <r>
      <rPr>
        <b/>
        <sz val="10"/>
        <color theme="1"/>
        <rFont val="Arial"/>
        <family val="2"/>
      </rPr>
      <t xml:space="preserve"> </t>
    </r>
  </si>
  <si>
    <t>Safety stock, 
ss = √L σW F-1[(CSL)desired]</t>
  </si>
  <si>
    <t>Supplier lead time (weeks), L</t>
  </si>
  <si>
    <r>
      <rPr>
        <b/>
        <sz val="10"/>
        <color theme="1"/>
        <rFont val="Arial"/>
        <family val="2"/>
      </rPr>
      <t># of shipments/year, n = D/Q</t>
    </r>
    <r>
      <rPr>
        <b/>
        <sz val="6"/>
        <color theme="1"/>
        <rFont val="Arial"/>
        <family val="2"/>
      </rPr>
      <t>L</t>
    </r>
  </si>
  <si>
    <r>
      <rPr>
        <b/>
        <sz val="10"/>
        <color theme="1"/>
        <rFont val="Arial"/>
        <family val="2"/>
      </rPr>
      <t>Mean value of D</t>
    </r>
    <r>
      <rPr>
        <b/>
        <sz val="8"/>
        <color theme="1"/>
        <rFont val="Arial"/>
        <family val="2"/>
      </rPr>
      <t>L</t>
    </r>
    <r>
      <rPr>
        <b/>
        <sz val="10"/>
        <color theme="1"/>
        <rFont val="Arial"/>
        <family val="2"/>
      </rPr>
      <t>, (D</t>
    </r>
    <r>
      <rPr>
        <b/>
        <sz val="8"/>
        <color theme="1"/>
        <rFont val="Arial"/>
        <family val="2"/>
      </rPr>
      <t>L</t>
    </r>
    <r>
      <rPr>
        <b/>
        <sz val="10"/>
        <color theme="1"/>
        <rFont val="Arial"/>
        <family val="2"/>
      </rPr>
      <t>)</t>
    </r>
    <r>
      <rPr>
        <b/>
        <sz val="8"/>
        <color theme="1"/>
        <rFont val="Arial"/>
        <family val="2"/>
      </rPr>
      <t xml:space="preserve">m </t>
    </r>
    <r>
      <rPr>
        <b/>
        <sz val="10"/>
        <color theme="1"/>
        <rFont val="Arial"/>
        <family val="2"/>
      </rPr>
      <t>= LD</t>
    </r>
    <r>
      <rPr>
        <b/>
        <sz val="7"/>
        <color theme="1"/>
        <rFont val="Arial"/>
        <family val="2"/>
      </rPr>
      <t>W</t>
    </r>
  </si>
  <si>
    <t>Total inventory holding cost = (QL / 2 + ss) (hC)</t>
  </si>
  <si>
    <r>
      <rPr>
        <b/>
        <sz val="10"/>
        <color theme="1"/>
        <rFont val="Arial"/>
        <family val="2"/>
      </rPr>
      <t>Cycle Inventory, Q</t>
    </r>
    <r>
      <rPr>
        <b/>
        <sz val="7"/>
        <color theme="1"/>
        <rFont val="Arial"/>
        <family val="2"/>
      </rPr>
      <t>L</t>
    </r>
    <r>
      <rPr>
        <b/>
        <sz val="10"/>
        <color theme="1"/>
        <rFont val="Arial"/>
        <family val="2"/>
      </rPr>
      <t>/2</t>
    </r>
  </si>
  <si>
    <r>
      <rPr>
        <b/>
        <sz val="10"/>
        <color theme="1"/>
        <rFont val="Arial"/>
        <family val="2"/>
      </rPr>
      <t>Std dev of D</t>
    </r>
    <r>
      <rPr>
        <b/>
        <sz val="8"/>
        <color theme="1"/>
        <rFont val="Arial"/>
        <family val="2"/>
      </rPr>
      <t>L</t>
    </r>
    <r>
      <rPr>
        <b/>
        <sz val="10"/>
        <color theme="1"/>
        <rFont val="Arial"/>
        <family val="2"/>
      </rPr>
      <t>, σ</t>
    </r>
    <r>
      <rPr>
        <b/>
        <sz val="7"/>
        <color theme="1"/>
        <rFont val="Arial"/>
        <family val="2"/>
      </rPr>
      <t xml:space="preserve">L , </t>
    </r>
    <r>
      <rPr>
        <b/>
        <sz val="10"/>
        <color theme="1"/>
        <rFont val="Arial"/>
        <family val="2"/>
      </rPr>
      <t>= √L σ</t>
    </r>
    <r>
      <rPr>
        <b/>
        <sz val="7"/>
        <color theme="1"/>
        <rFont val="Arial"/>
        <family val="2"/>
      </rPr>
      <t>W</t>
    </r>
    <r>
      <rPr>
        <b/>
        <sz val="10"/>
        <color theme="1"/>
        <rFont val="Arial"/>
        <family val="2"/>
      </rPr>
      <t xml:space="preserve"> </t>
    </r>
  </si>
  <si>
    <t xml:space="preserve">(CSL)desired = 95% = 0.95 </t>
  </si>
  <si>
    <t>Year 1 - 2026</t>
  </si>
  <si>
    <r>
      <rPr>
        <b/>
        <sz val="10"/>
        <color theme="1"/>
        <rFont val="Arial"/>
        <family val="2"/>
      </rPr>
      <t>Safety stock, 
ss = √L σ</t>
    </r>
    <r>
      <rPr>
        <b/>
        <sz val="7"/>
        <color theme="1"/>
        <rFont val="Arial"/>
        <family val="2"/>
      </rPr>
      <t>W</t>
    </r>
    <r>
      <rPr>
        <b/>
        <sz val="10"/>
        <color theme="1"/>
        <rFont val="Arial"/>
        <family val="2"/>
      </rPr>
      <t xml:space="preserve"> F-1[(CSL)desired]</t>
    </r>
  </si>
  <si>
    <t>Cycle inventory holding cost, CI = (QL / 2) × (hC)</t>
  </si>
  <si>
    <r>
      <rPr>
        <b/>
        <sz val="10"/>
        <color theme="1"/>
        <rFont val="Arial"/>
        <family val="2"/>
      </rPr>
      <t>Reorder point, ROP = LD</t>
    </r>
    <r>
      <rPr>
        <b/>
        <sz val="8"/>
        <color theme="1"/>
        <rFont val="Arial"/>
        <family val="2"/>
      </rPr>
      <t>W</t>
    </r>
    <r>
      <rPr>
        <b/>
        <sz val="10"/>
        <color theme="1"/>
        <rFont val="Arial"/>
        <family val="2"/>
      </rPr>
      <t xml:space="preserve"> + ss</t>
    </r>
  </si>
  <si>
    <t>Annual safety inventory holding cost, (ss)(hC)</t>
  </si>
  <si>
    <t>Optimal Lot Size, QL*</t>
  </si>
  <si>
    <t>Replenishment cycle time, 
T = 365/n</t>
  </si>
  <si>
    <t>Expected Shortage per Cycle, ESC</t>
  </si>
  <si>
    <t>Average flow time, T/2</t>
  </si>
  <si>
    <t>Fill Rate</t>
  </si>
  <si>
    <t>Contact Sensor</t>
  </si>
  <si>
    <t>Speaker</t>
  </si>
  <si>
    <t>Motor</t>
  </si>
  <si>
    <t>Finished Product</t>
  </si>
  <si>
    <t>Year 2 - 2027</t>
  </si>
  <si>
    <t>Year 3 - 2028</t>
  </si>
  <si>
    <t>Year 4 - 2029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</si>
</sst>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9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1"/>
      <color rgb="FF000000"/>
      <name val="Arial"/>
      <family val="2"/>
    </font>
    <font>
      <b/>
      <sz val="7"/>
      <color theme="1"/>
      <name val="Arial"/>
      <family val="2"/>
    </font>
    <font>
      <b/>
      <sz val="6"/>
      <color theme="1"/>
      <name val="Arial"/>
      <family val="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2" fillId="0" borderId="0" xfId="0" applyFont="1" applyAlignment="1">
      <alignment wrapText="1"/>
    </xf>
    <xf numFmtId="0" fontId="2" fillId="3" borderId="0" xfId="0" applyFont="1" applyFill="1" applyAlignment="1">
      <alignment wrapText="1"/>
    </xf>
    <xf numFmtId="0" fontId="2" fillId="4" borderId="0" xfId="0" applyFont="1" applyFill="1" applyAlignment="1">
      <alignment horizontal="center" wrapText="1"/>
    </xf>
    <xf numFmtId="0" fontId="2" fillId="5" borderId="0" xfId="0" applyFont="1" applyFill="1" applyAlignment="1">
      <alignment horizontal="center" wrapText="1"/>
    </xf>
    <xf numFmtId="0" fontId="3" fillId="0" borderId="1" xfId="0" applyFont="1" applyBorder="1"/>
    <xf numFmtId="0" fontId="3" fillId="0" borderId="2" xfId="0" applyFont="1" applyBorder="1" applyAlignment="1">
      <alignment horizontal="right"/>
    </xf>
    <xf numFmtId="0" fontId="2" fillId="6" borderId="0" xfId="0" applyFont="1" applyFill="1" applyAlignment="1">
      <alignment horizontal="center" wrapText="1"/>
    </xf>
    <xf numFmtId="0" fontId="3" fillId="0" borderId="2" xfId="0" applyFont="1" applyBorder="1"/>
    <xf numFmtId="0" fontId="4" fillId="0" borderId="0" xfId="0" applyFont="1" applyAlignment="1">
      <alignment wrapText="1"/>
    </xf>
    <xf numFmtId="0" fontId="2" fillId="6" borderId="0" xfId="0" applyFont="1" applyFill="1" applyAlignment="1">
      <alignment horizontal="center"/>
    </xf>
    <xf numFmtId="0" fontId="4" fillId="0" borderId="2" xfId="0" applyFont="1" applyBorder="1"/>
    <xf numFmtId="0" fontId="4" fillId="0" borderId="1" xfId="0" applyFont="1" applyBorder="1"/>
    <xf numFmtId="2" fontId="3" fillId="2" borderId="2" xfId="0" applyNumberFormat="1" applyFont="1" applyFill="1" applyBorder="1" applyAlignment="1">
      <alignment horizontal="right"/>
    </xf>
    <xf numFmtId="2" fontId="4" fillId="0" borderId="2" xfId="0" applyNumberFormat="1" applyFont="1" applyBorder="1"/>
    <xf numFmtId="164" fontId="4" fillId="3" borderId="3" xfId="0" applyNumberFormat="1" applyFont="1" applyFill="1" applyBorder="1"/>
    <xf numFmtId="2" fontId="4" fillId="4" borderId="2" xfId="0" applyNumberFormat="1" applyFont="1" applyFill="1" applyBorder="1"/>
    <xf numFmtId="0" fontId="3" fillId="0" borderId="4" xfId="0" applyFont="1" applyBorder="1"/>
    <xf numFmtId="0" fontId="3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164" fontId="4" fillId="5" borderId="2" xfId="0" applyNumberFormat="1" applyFont="1" applyFill="1" applyBorder="1"/>
    <xf numFmtId="2" fontId="3" fillId="2" borderId="0" xfId="0" applyNumberFormat="1" applyFont="1" applyFill="1" applyAlignment="1">
      <alignment horizontal="right"/>
    </xf>
    <xf numFmtId="2" fontId="4" fillId="0" borderId="0" xfId="0" applyNumberFormat="1" applyFont="1"/>
    <xf numFmtId="164" fontId="4" fillId="3" borderId="5" xfId="0" applyNumberFormat="1" applyFont="1" applyFill="1" applyBorder="1"/>
    <xf numFmtId="2" fontId="4" fillId="6" borderId="3" xfId="0" applyNumberFormat="1" applyFont="1" applyFill="1" applyBorder="1"/>
    <xf numFmtId="0" fontId="3" fillId="0" borderId="6" xfId="0" applyFont="1" applyBorder="1"/>
    <xf numFmtId="0" fontId="4" fillId="0" borderId="4" xfId="0" applyFont="1" applyBorder="1"/>
    <xf numFmtId="0" fontId="3" fillId="0" borderId="7" xfId="0" applyFont="1" applyBorder="1" applyAlignment="1">
      <alignment horizontal="right"/>
    </xf>
    <xf numFmtId="2" fontId="4" fillId="5" borderId="2" xfId="0" applyNumberFormat="1" applyFont="1" applyFill="1" applyBorder="1"/>
    <xf numFmtId="0" fontId="3" fillId="0" borderId="7" xfId="0" applyFont="1" applyBorder="1"/>
    <xf numFmtId="0" fontId="4" fillId="0" borderId="7" xfId="0" applyFont="1" applyBorder="1"/>
    <xf numFmtId="2" fontId="3" fillId="2" borderId="7" xfId="0" applyNumberFormat="1" applyFont="1" applyFill="1" applyBorder="1" applyAlignment="1">
      <alignment horizontal="right"/>
    </xf>
    <xf numFmtId="2" fontId="4" fillId="0" borderId="7" xfId="0" applyNumberFormat="1" applyFont="1" applyBorder="1"/>
    <xf numFmtId="2" fontId="4" fillId="4" borderId="0" xfId="0" applyNumberFormat="1" applyFont="1" applyFill="1"/>
    <xf numFmtId="164" fontId="4" fillId="3" borderId="8" xfId="0" applyNumberFormat="1" applyFont="1" applyFill="1" applyBorder="1"/>
    <xf numFmtId="164" fontId="4" fillId="4" borderId="2" xfId="0" applyNumberFormat="1" applyFont="1" applyFill="1" applyBorder="1"/>
    <xf numFmtId="164" fontId="4" fillId="5" borderId="0" xfId="0" applyNumberFormat="1" applyFont="1" applyFill="1"/>
    <xf numFmtId="2" fontId="3" fillId="2" borderId="0" xfId="0" applyNumberFormat="1" applyFont="1" applyFill="1"/>
    <xf numFmtId="164" fontId="4" fillId="3" borderId="0" xfId="0" applyNumberFormat="1" applyFont="1" applyFill="1"/>
    <xf numFmtId="2" fontId="4" fillId="6" borderId="5" xfId="0" applyNumberFormat="1" applyFont="1" applyFill="1" applyBorder="1"/>
    <xf numFmtId="0" fontId="4" fillId="0" borderId="6" xfId="0" applyFont="1" applyBorder="1"/>
    <xf numFmtId="2" fontId="4" fillId="4" borderId="7" xfId="0" applyNumberFormat="1" applyFont="1" applyFill="1" applyBorder="1"/>
    <xf numFmtId="164" fontId="4" fillId="5" borderId="7" xfId="0" applyNumberFormat="1" applyFont="1" applyFill="1" applyBorder="1"/>
    <xf numFmtId="10" fontId="4" fillId="6" borderId="2" xfId="0" applyNumberFormat="1" applyFont="1" applyFill="1" applyBorder="1"/>
    <xf numFmtId="2" fontId="4" fillId="6" borderId="8" xfId="0" applyNumberFormat="1" applyFont="1" applyFill="1" applyBorder="1"/>
    <xf numFmtId="2" fontId="4" fillId="5" borderId="0" xfId="0" applyNumberFormat="1" applyFont="1" applyFill="1"/>
    <xf numFmtId="2" fontId="4" fillId="6" borderId="0" xfId="0" applyNumberFormat="1" applyFont="1" applyFill="1"/>
    <xf numFmtId="164" fontId="4" fillId="4" borderId="0" xfId="0" applyNumberFormat="1" applyFont="1" applyFill="1"/>
    <xf numFmtId="10" fontId="4" fillId="6" borderId="0" xfId="0" applyNumberFormat="1" applyFont="1" applyFill="1"/>
    <xf numFmtId="2" fontId="4" fillId="5" borderId="7" xfId="0" applyNumberFormat="1" applyFont="1" applyFill="1" applyBorder="1"/>
    <xf numFmtId="164" fontId="4" fillId="4" borderId="7" xfId="0" applyNumberFormat="1" applyFont="1" applyFill="1" applyBorder="1"/>
    <xf numFmtId="10" fontId="4" fillId="6" borderId="7" xfId="0" applyNumberFormat="1" applyFont="1" applyFill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ke Melendez" id="{0AF8CB90-D5FA-4A17-8D4E-7A6DBA54D574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2" dT="2026-03-04T02:27:37.00" personId="{0AF8CB90-D5FA-4A17-8D4E-7A6DBA54D574}" id="{4C6D58AD-0A68-4F43-B893-514E213704FF}">
    <text>Lead times were curated based on information regarding our 3rd party sourcing (AKA real lead times based on website info).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20"/>
  <sheetViews>
    <sheetView workbookViewId="0"/>
  </sheetViews>
  <sheetFormatPr defaultColWidth="12.6328125" defaultRowHeight="15.75" customHeight="1" x14ac:dyDescent="0.25"/>
  <cols>
    <col min="3" max="3" width="14.08984375" customWidth="1"/>
    <col min="8" max="8" width="13.453125" customWidth="1"/>
    <col min="10" max="10" width="14.6328125" customWidth="1"/>
    <col min="11" max="11" width="14.453125" customWidth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8</v>
      </c>
      <c r="H1" s="2" t="s">
        <v>12</v>
      </c>
      <c r="I1" s="6" t="s">
        <v>15</v>
      </c>
      <c r="J1" s="7" t="s">
        <v>20</v>
      </c>
      <c r="K1" s="2" t="s">
        <v>24</v>
      </c>
      <c r="L1" s="10" t="s">
        <v>26</v>
      </c>
      <c r="M1" s="12"/>
      <c r="N1" s="12"/>
      <c r="O1" s="12"/>
    </row>
    <row r="2" spans="1:15" ht="15.75" customHeight="1" x14ac:dyDescent="0.25">
      <c r="A2" s="15" t="s">
        <v>18</v>
      </c>
      <c r="B2" s="14">
        <v>28878</v>
      </c>
      <c r="C2" s="14" t="s">
        <v>28</v>
      </c>
      <c r="D2" s="14">
        <v>21.99</v>
      </c>
      <c r="E2" s="14">
        <v>0.2</v>
      </c>
      <c r="F2" s="14">
        <v>500</v>
      </c>
      <c r="G2" s="17">
        <f t="shared" ref="G2:G5" si="0">SQRT((2*B2*F2)/(D2*E2))</f>
        <v>2562.4532072392244</v>
      </c>
      <c r="H2" s="17">
        <f t="shared" ref="H2:H5" si="1">B2/G2</f>
        <v>11.269669205438108</v>
      </c>
      <c r="I2" s="19">
        <f t="shared" ref="I2:I5" si="2">G2/2</f>
        <v>1281.2266036196122</v>
      </c>
      <c r="J2" s="24">
        <f t="shared" ref="J2:J5" si="3">(G2/2)*(E2*D2)</f>
        <v>5634.8346027190537</v>
      </c>
      <c r="K2" s="17">
        <f t="shared" ref="K2:K5" si="4">365/H2</f>
        <v>32.38781843071947</v>
      </c>
      <c r="L2" s="28">
        <f t="shared" ref="L2:L5" si="5">K2/2</f>
        <v>16.193909215359735</v>
      </c>
    </row>
    <row r="3" spans="1:15" ht="15.75" customHeight="1" x14ac:dyDescent="0.25">
      <c r="A3" s="30"/>
      <c r="B3" s="23">
        <v>28878</v>
      </c>
      <c r="C3" s="23" t="s">
        <v>29</v>
      </c>
      <c r="D3" s="23">
        <v>3.52</v>
      </c>
      <c r="E3" s="23">
        <v>0.2</v>
      </c>
      <c r="F3" s="23">
        <v>500</v>
      </c>
      <c r="G3" s="26">
        <f t="shared" si="0"/>
        <v>6404.6769132905029</v>
      </c>
      <c r="H3" s="26">
        <f t="shared" si="1"/>
        <v>4.5088925469565142</v>
      </c>
      <c r="I3" s="37">
        <f t="shared" si="2"/>
        <v>3202.3384566452514</v>
      </c>
      <c r="J3" s="40">
        <f t="shared" si="3"/>
        <v>2254.4462734782574</v>
      </c>
      <c r="K3" s="26">
        <f t="shared" si="4"/>
        <v>80.951141815604728</v>
      </c>
      <c r="L3" s="43">
        <f t="shared" si="5"/>
        <v>40.475570907802364</v>
      </c>
    </row>
    <row r="4" spans="1:15" ht="15.75" customHeight="1" x14ac:dyDescent="0.25">
      <c r="A4" s="30"/>
      <c r="B4" s="23">
        <v>28878</v>
      </c>
      <c r="C4" s="23" t="s">
        <v>30</v>
      </c>
      <c r="D4" s="23">
        <v>9.6</v>
      </c>
      <c r="E4" s="23">
        <v>0.2</v>
      </c>
      <c r="F4" s="23">
        <v>500</v>
      </c>
      <c r="G4" s="26">
        <f t="shared" si="0"/>
        <v>3878.2244648808041</v>
      </c>
      <c r="H4" s="26">
        <f t="shared" si="1"/>
        <v>7.4461909725711442</v>
      </c>
      <c r="I4" s="37">
        <f t="shared" si="2"/>
        <v>1939.1122324404021</v>
      </c>
      <c r="J4" s="40">
        <f t="shared" si="3"/>
        <v>3723.095486285572</v>
      </c>
      <c r="K4" s="26">
        <f t="shared" si="4"/>
        <v>49.018350636522385</v>
      </c>
      <c r="L4" s="43">
        <f t="shared" si="5"/>
        <v>24.509175318261192</v>
      </c>
    </row>
    <row r="5" spans="1:15" ht="15.75" customHeight="1" x14ac:dyDescent="0.25">
      <c r="A5" s="44"/>
      <c r="B5" s="34">
        <v>28878</v>
      </c>
      <c r="C5" s="34" t="s">
        <v>31</v>
      </c>
      <c r="D5" s="34">
        <v>115.28</v>
      </c>
      <c r="E5" s="34">
        <v>0.2</v>
      </c>
      <c r="F5" s="34">
        <v>750</v>
      </c>
      <c r="G5" s="36">
        <f t="shared" si="0"/>
        <v>1370.6835598471491</v>
      </c>
      <c r="H5" s="36">
        <f t="shared" si="1"/>
        <v>21.068320103890581</v>
      </c>
      <c r="I5" s="45">
        <f t="shared" si="2"/>
        <v>685.34177992357456</v>
      </c>
      <c r="J5" s="46">
        <f t="shared" si="3"/>
        <v>15801.240077917935</v>
      </c>
      <c r="K5" s="36">
        <f t="shared" si="4"/>
        <v>17.324589630314058</v>
      </c>
      <c r="L5" s="48">
        <f t="shared" si="5"/>
        <v>8.6622948151570291</v>
      </c>
    </row>
    <row r="6" spans="1:15" ht="15.75" customHeight="1" x14ac:dyDescent="0.25">
      <c r="G6" s="26"/>
      <c r="H6" s="26"/>
      <c r="I6" s="37"/>
      <c r="J6" s="40"/>
      <c r="K6" s="26"/>
      <c r="L6" s="50"/>
    </row>
    <row r="7" spans="1:15" ht="15.75" customHeight="1" x14ac:dyDescent="0.25">
      <c r="A7" s="15" t="s">
        <v>32</v>
      </c>
      <c r="B7" s="14">
        <v>43188</v>
      </c>
      <c r="C7" s="14" t="s">
        <v>28</v>
      </c>
      <c r="D7" s="14">
        <v>21.99</v>
      </c>
      <c r="E7" s="14">
        <v>0.2</v>
      </c>
      <c r="F7" s="14">
        <v>500</v>
      </c>
      <c r="G7" s="17">
        <f t="shared" ref="G7:G10" si="6">SQRT((2*B7*F7)/(D7*E7))</f>
        <v>3133.6748626191561</v>
      </c>
      <c r="H7" s="17">
        <f t="shared" ref="H7:H10" si="7">B7/G7</f>
        <v>13.781902045799049</v>
      </c>
      <c r="I7" s="19">
        <f t="shared" ref="I7:I10" si="8">G7/2</f>
        <v>1566.8374313095781</v>
      </c>
      <c r="J7" s="24">
        <f t="shared" ref="J7:J10" si="9">(G7/2)*(E7*D7)</f>
        <v>6890.9510228995241</v>
      </c>
      <c r="K7" s="17">
        <f t="shared" ref="K7:K10" si="10">365/H7</f>
        <v>26.484007707140687</v>
      </c>
      <c r="L7" s="28">
        <f t="shared" ref="L7:L10" si="11">K7/2</f>
        <v>13.242003853570344</v>
      </c>
    </row>
    <row r="8" spans="1:15" ht="15.75" customHeight="1" x14ac:dyDescent="0.25">
      <c r="A8" s="30"/>
      <c r="B8" s="23">
        <v>43188</v>
      </c>
      <c r="C8" s="23" t="s">
        <v>29</v>
      </c>
      <c r="D8" s="23">
        <v>3.52</v>
      </c>
      <c r="E8" s="23">
        <v>0.2</v>
      </c>
      <c r="F8" s="23">
        <v>500</v>
      </c>
      <c r="G8" s="26">
        <f t="shared" si="6"/>
        <v>7832.4064570916462</v>
      </c>
      <c r="H8" s="26">
        <f t="shared" si="7"/>
        <v>5.5140141457925189</v>
      </c>
      <c r="I8" s="37">
        <f t="shared" si="8"/>
        <v>3916.2032285458231</v>
      </c>
      <c r="J8" s="40">
        <f t="shared" si="9"/>
        <v>2757.0070728962596</v>
      </c>
      <c r="K8" s="26">
        <f t="shared" si="10"/>
        <v>66.194969825841682</v>
      </c>
      <c r="L8" s="43">
        <f t="shared" si="11"/>
        <v>33.097484912920841</v>
      </c>
    </row>
    <row r="9" spans="1:15" ht="15.75" customHeight="1" x14ac:dyDescent="0.25">
      <c r="A9" s="30"/>
      <c r="B9" s="23">
        <v>43188</v>
      </c>
      <c r="C9" s="23" t="s">
        <v>30</v>
      </c>
      <c r="D9" s="23">
        <v>9.6</v>
      </c>
      <c r="E9" s="23">
        <v>0.2</v>
      </c>
      <c r="F9" s="23">
        <v>500</v>
      </c>
      <c r="G9" s="26">
        <f t="shared" si="6"/>
        <v>4742.7576366498006</v>
      </c>
      <c r="H9" s="26">
        <f t="shared" si="7"/>
        <v>9.1060946623676156</v>
      </c>
      <c r="I9" s="37">
        <f t="shared" si="8"/>
        <v>2371.3788183249003</v>
      </c>
      <c r="J9" s="40">
        <f t="shared" si="9"/>
        <v>4553.0473311838086</v>
      </c>
      <c r="K9" s="26">
        <f t="shared" si="10"/>
        <v>40.083044766536474</v>
      </c>
      <c r="L9" s="43">
        <f t="shared" si="11"/>
        <v>20.041522383268237</v>
      </c>
    </row>
    <row r="10" spans="1:15" ht="15.75" customHeight="1" x14ac:dyDescent="0.25">
      <c r="A10" s="44"/>
      <c r="B10" s="34">
        <v>43188</v>
      </c>
      <c r="C10" s="34" t="s">
        <v>31</v>
      </c>
      <c r="D10" s="34">
        <v>115.28</v>
      </c>
      <c r="E10" s="34">
        <v>0.2</v>
      </c>
      <c r="F10" s="34">
        <v>750</v>
      </c>
      <c r="G10" s="36">
        <f t="shared" si="6"/>
        <v>1676.2361177810785</v>
      </c>
      <c r="H10" s="36">
        <f t="shared" si="7"/>
        <v>25.764866621040369</v>
      </c>
      <c r="I10" s="45">
        <f t="shared" si="8"/>
        <v>838.11805889053926</v>
      </c>
      <c r="J10" s="46">
        <f t="shared" si="9"/>
        <v>19323.649965780274</v>
      </c>
      <c r="K10" s="36">
        <f t="shared" si="10"/>
        <v>14.166578285405521</v>
      </c>
      <c r="L10" s="48">
        <f t="shared" si="11"/>
        <v>7.0832891427027604</v>
      </c>
    </row>
    <row r="11" spans="1:15" ht="15.75" customHeight="1" x14ac:dyDescent="0.25">
      <c r="G11" s="26"/>
      <c r="H11" s="26"/>
      <c r="I11" s="37"/>
      <c r="J11" s="40"/>
      <c r="K11" s="26"/>
      <c r="L11" s="50"/>
    </row>
    <row r="12" spans="1:15" ht="15.75" customHeight="1" x14ac:dyDescent="0.25">
      <c r="A12" s="15" t="s">
        <v>33</v>
      </c>
      <c r="B12" s="14">
        <v>53555</v>
      </c>
      <c r="C12" s="14" t="s">
        <v>28</v>
      </c>
      <c r="D12" s="14">
        <v>21.99</v>
      </c>
      <c r="E12" s="14">
        <v>0.2</v>
      </c>
      <c r="F12" s="14">
        <v>500</v>
      </c>
      <c r="G12" s="17">
        <f t="shared" ref="G12:G15" si="12">SQRT((2*B12*F12)/(D12*E12))</f>
        <v>3489.5738946679926</v>
      </c>
      <c r="H12" s="17">
        <f t="shared" ref="H12:H15" si="13">B12/G12</f>
        <v>15.347145988749828</v>
      </c>
      <c r="I12" s="19">
        <f t="shared" ref="I12:I15" si="14">G12/2</f>
        <v>1744.7869473339963</v>
      </c>
      <c r="J12" s="24">
        <f t="shared" ref="J12:J15" si="15">(G12/2)*(E12*D12)</f>
        <v>7673.5729943749147</v>
      </c>
      <c r="K12" s="17">
        <f t="shared" ref="K12:K15" si="16">365/H12</f>
        <v>23.782923565564698</v>
      </c>
      <c r="L12" s="28">
        <f t="shared" ref="L12:L15" si="17">K12/2</f>
        <v>11.891461782782349</v>
      </c>
    </row>
    <row r="13" spans="1:15" ht="15.75" customHeight="1" x14ac:dyDescent="0.25">
      <c r="A13" s="30"/>
      <c r="B13" s="23">
        <v>53555</v>
      </c>
      <c r="C13" s="23" t="s">
        <v>29</v>
      </c>
      <c r="D13" s="23">
        <v>3.52</v>
      </c>
      <c r="E13" s="23">
        <v>0.2</v>
      </c>
      <c r="F13" s="23">
        <v>500</v>
      </c>
      <c r="G13" s="26">
        <f t="shared" si="12"/>
        <v>8721.9517988703756</v>
      </c>
      <c r="H13" s="26">
        <f t="shared" si="13"/>
        <v>6.1402540664047445</v>
      </c>
      <c r="I13" s="37">
        <f t="shared" si="14"/>
        <v>4360.9758994351878</v>
      </c>
      <c r="J13" s="40">
        <f t="shared" si="15"/>
        <v>3070.1270332023723</v>
      </c>
      <c r="K13" s="26">
        <f t="shared" si="16"/>
        <v>59.443794353238488</v>
      </c>
      <c r="L13" s="43">
        <f t="shared" si="17"/>
        <v>29.721897176619244</v>
      </c>
    </row>
    <row r="14" spans="1:15" ht="15.75" customHeight="1" x14ac:dyDescent="0.25">
      <c r="A14" s="30"/>
      <c r="B14" s="23">
        <v>53555</v>
      </c>
      <c r="C14" s="23" t="s">
        <v>30</v>
      </c>
      <c r="D14" s="23">
        <v>9.6</v>
      </c>
      <c r="E14" s="23">
        <v>0.2</v>
      </c>
      <c r="F14" s="23">
        <v>500</v>
      </c>
      <c r="G14" s="26">
        <f t="shared" si="12"/>
        <v>5281.4040904542298</v>
      </c>
      <c r="H14" s="26">
        <f t="shared" si="13"/>
        <v>10.14029585367212</v>
      </c>
      <c r="I14" s="37">
        <f t="shared" si="14"/>
        <v>2640.7020452271149</v>
      </c>
      <c r="J14" s="40">
        <f t="shared" si="15"/>
        <v>5070.1479268360608</v>
      </c>
      <c r="K14" s="26">
        <f t="shared" si="16"/>
        <v>35.9950050044962</v>
      </c>
      <c r="L14" s="43">
        <f t="shared" si="17"/>
        <v>17.9975025022481</v>
      </c>
    </row>
    <row r="15" spans="1:15" ht="15.75" customHeight="1" x14ac:dyDescent="0.25">
      <c r="A15" s="44"/>
      <c r="B15" s="34">
        <v>53555</v>
      </c>
      <c r="C15" s="34" t="s">
        <v>31</v>
      </c>
      <c r="D15" s="34">
        <v>115.28</v>
      </c>
      <c r="E15" s="34">
        <v>0.2</v>
      </c>
      <c r="F15" s="34">
        <v>750</v>
      </c>
      <c r="G15" s="36">
        <f t="shared" si="12"/>
        <v>1866.6103071776663</v>
      </c>
      <c r="H15" s="36">
        <f t="shared" si="13"/>
        <v>28.691044828192179</v>
      </c>
      <c r="I15" s="45">
        <f t="shared" si="14"/>
        <v>933.30515358883315</v>
      </c>
      <c r="J15" s="46">
        <f t="shared" si="15"/>
        <v>21518.283621144139</v>
      </c>
      <c r="K15" s="36">
        <f t="shared" si="16"/>
        <v>12.721739559702142</v>
      </c>
      <c r="L15" s="48">
        <f t="shared" si="17"/>
        <v>6.3608697798510709</v>
      </c>
    </row>
    <row r="16" spans="1:15" ht="15.75" customHeight="1" x14ac:dyDescent="0.25">
      <c r="G16" s="26"/>
      <c r="H16" s="26"/>
      <c r="I16" s="37"/>
      <c r="J16" s="40"/>
      <c r="K16" s="26"/>
      <c r="L16" s="50"/>
    </row>
    <row r="17" spans="1:12" ht="15.75" customHeight="1" x14ac:dyDescent="0.25">
      <c r="A17" s="15" t="s">
        <v>34</v>
      </c>
      <c r="B17" s="14">
        <v>64254</v>
      </c>
      <c r="C17" s="14" t="s">
        <v>28</v>
      </c>
      <c r="D17" s="14">
        <v>21.99</v>
      </c>
      <c r="E17" s="14">
        <v>0.2</v>
      </c>
      <c r="F17" s="14">
        <v>500</v>
      </c>
      <c r="G17" s="17">
        <f t="shared" ref="G17:G20" si="18">SQRT((2*B17*F17)/(D17*E17))</f>
        <v>3822.2797708511048</v>
      </c>
      <c r="H17" s="17">
        <f t="shared" ref="H17:H20" si="19">B17/G17</f>
        <v>16.810386432203156</v>
      </c>
      <c r="I17" s="19">
        <f t="shared" ref="I17:I20" si="20">G17/2</f>
        <v>1911.1398854255524</v>
      </c>
      <c r="J17" s="24">
        <f t="shared" ref="J17:J20" si="21">(G17/2)*(E17*D17)</f>
        <v>8405.1932161015793</v>
      </c>
      <c r="K17" s="17">
        <f t="shared" ref="K17:K20" si="22">365/H17</f>
        <v>21.712766774996936</v>
      </c>
      <c r="L17" s="28">
        <f t="shared" ref="L17:L20" si="23">K17/2</f>
        <v>10.856383387498468</v>
      </c>
    </row>
    <row r="18" spans="1:12" ht="15.75" customHeight="1" x14ac:dyDescent="0.25">
      <c r="A18" s="30"/>
      <c r="B18" s="23">
        <v>64254</v>
      </c>
      <c r="C18" s="23" t="s">
        <v>29</v>
      </c>
      <c r="D18" s="23">
        <v>3.52</v>
      </c>
      <c r="E18" s="23">
        <v>0.2</v>
      </c>
      <c r="F18" s="23">
        <v>500</v>
      </c>
      <c r="G18" s="26">
        <f t="shared" si="18"/>
        <v>9553.5274304120976</v>
      </c>
      <c r="H18" s="26">
        <f t="shared" si="19"/>
        <v>6.7256833110101155</v>
      </c>
      <c r="I18" s="37">
        <f t="shared" si="20"/>
        <v>4776.7637152060488</v>
      </c>
      <c r="J18" s="40">
        <f t="shared" si="21"/>
        <v>3362.8416555050585</v>
      </c>
      <c r="K18" s="26">
        <f t="shared" si="22"/>
        <v>54.26957873596065</v>
      </c>
      <c r="L18" s="43">
        <f t="shared" si="23"/>
        <v>27.134789367980325</v>
      </c>
    </row>
    <row r="19" spans="1:12" ht="15.75" customHeight="1" x14ac:dyDescent="0.25">
      <c r="A19" s="30"/>
      <c r="B19" s="23">
        <v>64254</v>
      </c>
      <c r="C19" s="23" t="s">
        <v>30</v>
      </c>
      <c r="D19" s="23">
        <v>9.6</v>
      </c>
      <c r="E19" s="23">
        <v>0.2</v>
      </c>
      <c r="F19" s="23">
        <v>500</v>
      </c>
      <c r="G19" s="26">
        <f t="shared" si="18"/>
        <v>5784.9481415134569</v>
      </c>
      <c r="H19" s="26">
        <f t="shared" si="19"/>
        <v>11.107100431705838</v>
      </c>
      <c r="I19" s="37">
        <f t="shared" si="20"/>
        <v>2892.4740707567285</v>
      </c>
      <c r="J19" s="40">
        <f t="shared" si="21"/>
        <v>5553.550215852918</v>
      </c>
      <c r="K19" s="26">
        <f t="shared" si="22"/>
        <v>32.861861855330588</v>
      </c>
      <c r="L19" s="43">
        <f t="shared" si="23"/>
        <v>16.430930927665294</v>
      </c>
    </row>
    <row r="20" spans="1:12" ht="15.75" customHeight="1" x14ac:dyDescent="0.25">
      <c r="A20" s="44"/>
      <c r="B20" s="34">
        <v>64254</v>
      </c>
      <c r="C20" s="34" t="s">
        <v>31</v>
      </c>
      <c r="D20" s="34">
        <v>115.28</v>
      </c>
      <c r="E20" s="34">
        <v>0.2</v>
      </c>
      <c r="F20" s="34">
        <v>750</v>
      </c>
      <c r="G20" s="36">
        <f t="shared" si="18"/>
        <v>2044.5782300495389</v>
      </c>
      <c r="H20" s="36">
        <f t="shared" si="19"/>
        <v>31.42653044801478</v>
      </c>
      <c r="I20" s="45">
        <f t="shared" si="20"/>
        <v>1022.2891150247694</v>
      </c>
      <c r="J20" s="46">
        <f t="shared" si="21"/>
        <v>23569.897836011085</v>
      </c>
      <c r="K20" s="36">
        <f t="shared" si="22"/>
        <v>11.614390605535556</v>
      </c>
      <c r="L20" s="48">
        <f t="shared" si="23"/>
        <v>5.8071953027677781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20"/>
  <sheetViews>
    <sheetView tabSelected="1" workbookViewId="0"/>
  </sheetViews>
  <sheetFormatPr defaultColWidth="12.6328125" defaultRowHeight="15.75" customHeight="1" x14ac:dyDescent="0.25"/>
  <cols>
    <col min="3" max="3" width="15.7265625" customWidth="1"/>
    <col min="13" max="13" width="17.6328125" customWidth="1"/>
    <col min="15" max="15" width="14.36328125" customWidth="1"/>
  </cols>
  <sheetData>
    <row r="1" spans="1:1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9</v>
      </c>
      <c r="I1" s="2" t="s">
        <v>11</v>
      </c>
      <c r="J1" s="2" t="s">
        <v>13</v>
      </c>
      <c r="K1" s="2" t="s">
        <v>16</v>
      </c>
      <c r="L1" s="2" t="s">
        <v>17</v>
      </c>
      <c r="M1" s="7" t="s">
        <v>19</v>
      </c>
      <c r="N1" s="2" t="s">
        <v>21</v>
      </c>
      <c r="O1" s="6" t="s">
        <v>22</v>
      </c>
      <c r="P1" s="2" t="s">
        <v>23</v>
      </c>
      <c r="Q1" s="2" t="s">
        <v>25</v>
      </c>
      <c r="R1" s="13" t="s">
        <v>27</v>
      </c>
    </row>
    <row r="2" spans="1:18" ht="15.75" customHeight="1" x14ac:dyDescent="0.25">
      <c r="A2" s="15" t="s">
        <v>18</v>
      </c>
      <c r="B2" s="14">
        <v>28878</v>
      </c>
      <c r="C2" s="14" t="s">
        <v>28</v>
      </c>
      <c r="D2" s="14">
        <v>21.99</v>
      </c>
      <c r="E2" s="14">
        <v>0.2</v>
      </c>
      <c r="F2" s="14">
        <v>500</v>
      </c>
      <c r="G2" s="17">
        <f t="shared" ref="G2:G5" si="0">B2/52</f>
        <v>555.34615384615381</v>
      </c>
      <c r="H2" s="17">
        <f t="shared" ref="H2:H5" si="1">STDEV(3107,7938,6117,11716)</f>
        <v>3599.2090334775871</v>
      </c>
      <c r="I2" s="14">
        <v>2</v>
      </c>
      <c r="J2" s="17">
        <f t="shared" ref="J2:J5" si="2">I2*G2</f>
        <v>1110.6923076923076</v>
      </c>
      <c r="K2" s="17">
        <f t="shared" ref="K2:K5" si="3">(SQRT(I2))*H2</f>
        <v>5090.0502289597634</v>
      </c>
      <c r="L2" s="17">
        <v>1.65</v>
      </c>
      <c r="M2" s="32">
        <f t="shared" ref="M2:M5" si="4">(SQRT(I2))*H2*L2</f>
        <v>8398.5828777836086</v>
      </c>
      <c r="N2" s="17">
        <f t="shared" ref="N2:N5" si="5">J2+M2</f>
        <v>9509.2751854759154</v>
      </c>
      <c r="O2" s="39">
        <f t="shared" ref="O2:O5" si="6">M2*E2*D2</f>
        <v>36936.967496492311</v>
      </c>
      <c r="P2" s="17">
        <v>2562.4532072392244</v>
      </c>
      <c r="Q2" s="17">
        <f>-M2*(1-0.95)+(K2*0.102264924564)</f>
        <v>100.6044588023604</v>
      </c>
      <c r="R2" s="47">
        <f t="shared" ref="R2:R5" si="7">1-(Q2/P2)</f>
        <v>0.96073900646531174</v>
      </c>
    </row>
    <row r="3" spans="1:18" ht="15.75" customHeight="1" x14ac:dyDescent="0.25">
      <c r="A3" s="30"/>
      <c r="B3" s="23">
        <v>28878</v>
      </c>
      <c r="C3" s="23" t="s">
        <v>29</v>
      </c>
      <c r="D3" s="23">
        <v>3.52</v>
      </c>
      <c r="E3" s="23">
        <v>0.2</v>
      </c>
      <c r="F3" s="23">
        <v>500</v>
      </c>
      <c r="G3" s="26">
        <f t="shared" si="0"/>
        <v>555.34615384615381</v>
      </c>
      <c r="H3" s="26">
        <f t="shared" si="1"/>
        <v>3599.2090334775871</v>
      </c>
      <c r="I3" s="23">
        <v>4</v>
      </c>
      <c r="J3" s="26">
        <f t="shared" si="2"/>
        <v>2221.3846153846152</v>
      </c>
      <c r="K3" s="26">
        <f t="shared" si="3"/>
        <v>7198.4180669551743</v>
      </c>
      <c r="L3" s="26">
        <v>1.65</v>
      </c>
      <c r="M3" s="49">
        <f t="shared" si="4"/>
        <v>11877.389810476037</v>
      </c>
      <c r="N3" s="26">
        <f t="shared" si="5"/>
        <v>14098.774425860653</v>
      </c>
      <c r="O3" s="51">
        <f t="shared" si="6"/>
        <v>8361.6824265751311</v>
      </c>
      <c r="P3" s="26">
        <v>6404.6769132905029</v>
      </c>
      <c r="Q3" s="26">
        <f t="shared" ref="Q3:Q5" si="8">-M3*(1-0.95)+K3*(0.102264924564)</f>
        <v>142.27619007350324</v>
      </c>
      <c r="R3" s="52">
        <f t="shared" si="7"/>
        <v>0.97778557888247841</v>
      </c>
    </row>
    <row r="4" spans="1:18" ht="15.75" customHeight="1" x14ac:dyDescent="0.25">
      <c r="A4" s="30"/>
      <c r="B4" s="23">
        <v>28878</v>
      </c>
      <c r="C4" s="23" t="s">
        <v>30</v>
      </c>
      <c r="D4" s="23">
        <v>9.6</v>
      </c>
      <c r="E4" s="23">
        <v>0.2</v>
      </c>
      <c r="F4" s="23">
        <v>500</v>
      </c>
      <c r="G4" s="26">
        <f t="shared" si="0"/>
        <v>555.34615384615381</v>
      </c>
      <c r="H4" s="26">
        <f t="shared" si="1"/>
        <v>3599.2090334775871</v>
      </c>
      <c r="I4" s="23">
        <v>4</v>
      </c>
      <c r="J4" s="26">
        <f t="shared" si="2"/>
        <v>2221.3846153846152</v>
      </c>
      <c r="K4" s="26">
        <f t="shared" si="3"/>
        <v>7198.4180669551743</v>
      </c>
      <c r="L4" s="26">
        <v>1.65</v>
      </c>
      <c r="M4" s="49">
        <f t="shared" si="4"/>
        <v>11877.389810476037</v>
      </c>
      <c r="N4" s="26">
        <f t="shared" si="5"/>
        <v>14098.774425860653</v>
      </c>
      <c r="O4" s="51">
        <f t="shared" si="6"/>
        <v>22804.588436113994</v>
      </c>
      <c r="P4" s="26">
        <v>3878.2244648808041</v>
      </c>
      <c r="Q4" s="26">
        <f t="shared" si="8"/>
        <v>142.27619007350324</v>
      </c>
      <c r="R4" s="52">
        <f t="shared" si="7"/>
        <v>0.96331409092952647</v>
      </c>
    </row>
    <row r="5" spans="1:18" ht="15.75" customHeight="1" x14ac:dyDescent="0.25">
      <c r="A5" s="44"/>
      <c r="B5" s="34">
        <v>28878</v>
      </c>
      <c r="C5" s="34" t="s">
        <v>31</v>
      </c>
      <c r="D5" s="34">
        <v>115.28</v>
      </c>
      <c r="E5" s="34">
        <v>0.2</v>
      </c>
      <c r="F5" s="34">
        <v>750</v>
      </c>
      <c r="G5" s="36">
        <f t="shared" si="0"/>
        <v>555.34615384615381</v>
      </c>
      <c r="H5" s="36">
        <f t="shared" si="1"/>
        <v>3599.2090334775871</v>
      </c>
      <c r="I5" s="34">
        <v>1</v>
      </c>
      <c r="J5" s="36">
        <f t="shared" si="2"/>
        <v>555.34615384615381</v>
      </c>
      <c r="K5" s="36">
        <f t="shared" si="3"/>
        <v>3599.2090334775871</v>
      </c>
      <c r="L5" s="36">
        <v>1.65</v>
      </c>
      <c r="M5" s="53">
        <f t="shared" si="4"/>
        <v>5938.6949052380187</v>
      </c>
      <c r="N5" s="36">
        <f t="shared" si="5"/>
        <v>6494.041059084173</v>
      </c>
      <c r="O5" s="54">
        <f t="shared" si="6"/>
        <v>136922.54973516776</v>
      </c>
      <c r="P5" s="36">
        <v>1370.6835598471491</v>
      </c>
      <c r="Q5" s="36">
        <f t="shared" si="8"/>
        <v>71.138095036751622</v>
      </c>
      <c r="R5" s="55">
        <f t="shared" si="7"/>
        <v>0.94810027848828615</v>
      </c>
    </row>
    <row r="6" spans="1:18" x14ac:dyDescent="0.3">
      <c r="G6" s="26"/>
      <c r="H6" s="26"/>
      <c r="I6" s="56"/>
      <c r="J6" s="26"/>
      <c r="K6" s="26"/>
      <c r="L6" s="26"/>
      <c r="M6" s="49"/>
      <c r="N6" s="26"/>
      <c r="O6" s="51"/>
      <c r="P6" s="26"/>
      <c r="Q6" s="26"/>
      <c r="R6" s="52"/>
    </row>
    <row r="7" spans="1:18" ht="15.75" customHeight="1" x14ac:dyDescent="0.25">
      <c r="A7" s="15" t="s">
        <v>32</v>
      </c>
      <c r="B7" s="14">
        <v>43188</v>
      </c>
      <c r="C7" s="14" t="s">
        <v>28</v>
      </c>
      <c r="D7" s="14">
        <v>21.99</v>
      </c>
      <c r="E7" s="14">
        <v>0.2</v>
      </c>
      <c r="F7" s="14">
        <v>500</v>
      </c>
      <c r="G7" s="17">
        <f t="shared" ref="G7:G10" si="9">B7/52</f>
        <v>830.53846153846155</v>
      </c>
      <c r="H7" s="17">
        <f t="shared" ref="H7:H10" si="10">STDEV(6412,12756,8630,15390)</f>
        <v>4035.5686918533138</v>
      </c>
      <c r="I7" s="14">
        <v>2</v>
      </c>
      <c r="J7" s="17">
        <f t="shared" ref="J7:J10" si="11">I7*G7</f>
        <v>1661.0769230769231</v>
      </c>
      <c r="K7" s="17">
        <f t="shared" ref="K7:K10" si="12">(SQRT(I7))*H7</f>
        <v>5707.1559759072061</v>
      </c>
      <c r="L7" s="17">
        <v>1.65</v>
      </c>
      <c r="M7" s="32">
        <f t="shared" ref="M7:M10" si="13">(SQRT(I7))*H7*L7</f>
        <v>9416.8073602468903</v>
      </c>
      <c r="N7" s="17">
        <f t="shared" ref="N7:N10" si="14">J7+M7</f>
        <v>11077.884283323814</v>
      </c>
      <c r="O7" s="39">
        <f t="shared" ref="O7:O10" si="15">M7*E7*D7</f>
        <v>41415.118770365822</v>
      </c>
      <c r="P7" s="17">
        <v>3133.6748626191561</v>
      </c>
      <c r="Q7" s="17">
        <f t="shared" ref="Q7:Q10" si="16">-M7*(1-0.95)+K7*(0.102264924564)</f>
        <v>112.80150733878736</v>
      </c>
      <c r="R7" s="47">
        <f t="shared" ref="R7:R10" si="17">1-(Q7/P7)</f>
        <v>0.96400344251269687</v>
      </c>
    </row>
    <row r="8" spans="1:18" ht="15.75" customHeight="1" x14ac:dyDescent="0.25">
      <c r="A8" s="30"/>
      <c r="B8" s="23">
        <v>43188</v>
      </c>
      <c r="C8" s="23" t="s">
        <v>29</v>
      </c>
      <c r="D8" s="23">
        <v>3.52</v>
      </c>
      <c r="E8" s="23">
        <v>0.2</v>
      </c>
      <c r="F8" s="23">
        <v>500</v>
      </c>
      <c r="G8" s="26">
        <f t="shared" si="9"/>
        <v>830.53846153846155</v>
      </c>
      <c r="H8" s="26">
        <f t="shared" si="10"/>
        <v>4035.5686918533138</v>
      </c>
      <c r="I8" s="23">
        <v>4</v>
      </c>
      <c r="J8" s="26">
        <f t="shared" si="11"/>
        <v>3322.1538461538462</v>
      </c>
      <c r="K8" s="26">
        <f t="shared" si="12"/>
        <v>8071.1373837066276</v>
      </c>
      <c r="L8" s="26">
        <v>1.65</v>
      </c>
      <c r="M8" s="49">
        <f t="shared" si="13"/>
        <v>13317.376683115936</v>
      </c>
      <c r="N8" s="26">
        <f t="shared" si="14"/>
        <v>16639.530529269781</v>
      </c>
      <c r="O8" s="51">
        <f t="shared" si="15"/>
        <v>9375.4331849136179</v>
      </c>
      <c r="P8" s="26">
        <v>7832.4064570916462</v>
      </c>
      <c r="Q8" s="26">
        <f t="shared" si="16"/>
        <v>159.52542153464128</v>
      </c>
      <c r="R8" s="52">
        <f t="shared" si="17"/>
        <v>0.97963264261008787</v>
      </c>
    </row>
    <row r="9" spans="1:18" ht="15.75" customHeight="1" x14ac:dyDescent="0.25">
      <c r="A9" s="30"/>
      <c r="B9" s="23">
        <v>43188</v>
      </c>
      <c r="C9" s="23" t="s">
        <v>30</v>
      </c>
      <c r="D9" s="23">
        <v>9.6</v>
      </c>
      <c r="E9" s="23">
        <v>0.2</v>
      </c>
      <c r="F9" s="23">
        <v>500</v>
      </c>
      <c r="G9" s="26">
        <f t="shared" si="9"/>
        <v>830.53846153846155</v>
      </c>
      <c r="H9" s="26">
        <f t="shared" si="10"/>
        <v>4035.5686918533138</v>
      </c>
      <c r="I9" s="23">
        <v>4</v>
      </c>
      <c r="J9" s="26">
        <f t="shared" si="11"/>
        <v>3322.1538461538462</v>
      </c>
      <c r="K9" s="26">
        <f t="shared" si="12"/>
        <v>8071.1373837066276</v>
      </c>
      <c r="L9" s="26">
        <v>1.65</v>
      </c>
      <c r="M9" s="49">
        <f t="shared" si="13"/>
        <v>13317.376683115936</v>
      </c>
      <c r="N9" s="26">
        <f t="shared" si="14"/>
        <v>16639.530529269781</v>
      </c>
      <c r="O9" s="51">
        <f t="shared" si="15"/>
        <v>25569.363231582596</v>
      </c>
      <c r="P9" s="26">
        <v>4742.7576366498006</v>
      </c>
      <c r="Q9" s="26">
        <f t="shared" si="16"/>
        <v>159.52542153464128</v>
      </c>
      <c r="R9" s="52">
        <f t="shared" si="17"/>
        <v>0.96636441628349212</v>
      </c>
    </row>
    <row r="10" spans="1:18" ht="15.75" customHeight="1" x14ac:dyDescent="0.25">
      <c r="A10" s="44"/>
      <c r="B10" s="34">
        <v>43188</v>
      </c>
      <c r="C10" s="34" t="s">
        <v>31</v>
      </c>
      <c r="D10" s="34">
        <v>115.28</v>
      </c>
      <c r="E10" s="34">
        <v>0.2</v>
      </c>
      <c r="F10" s="34">
        <v>750</v>
      </c>
      <c r="G10" s="36">
        <f t="shared" si="9"/>
        <v>830.53846153846155</v>
      </c>
      <c r="H10" s="36">
        <f t="shared" si="10"/>
        <v>4035.5686918533138</v>
      </c>
      <c r="I10" s="34">
        <v>1</v>
      </c>
      <c r="J10" s="36">
        <f t="shared" si="11"/>
        <v>830.53846153846155</v>
      </c>
      <c r="K10" s="36">
        <f t="shared" si="12"/>
        <v>4035.5686918533138</v>
      </c>
      <c r="L10" s="36">
        <v>1.65</v>
      </c>
      <c r="M10" s="53">
        <f t="shared" si="13"/>
        <v>6658.6883415579678</v>
      </c>
      <c r="N10" s="36">
        <f t="shared" si="14"/>
        <v>7489.2268030964296</v>
      </c>
      <c r="O10" s="54">
        <f t="shared" si="15"/>
        <v>153522.71840296051</v>
      </c>
      <c r="P10" s="36">
        <v>1676.2361177810785</v>
      </c>
      <c r="Q10" s="36">
        <f t="shared" si="16"/>
        <v>79.762710767320641</v>
      </c>
      <c r="R10" s="55">
        <f t="shared" si="17"/>
        <v>0.95241558756477174</v>
      </c>
    </row>
    <row r="11" spans="1:18" ht="15.75" customHeight="1" x14ac:dyDescent="0.25">
      <c r="G11" s="26"/>
      <c r="H11" s="26"/>
      <c r="J11" s="26"/>
      <c r="K11" s="26"/>
      <c r="L11" s="26"/>
      <c r="M11" s="49"/>
      <c r="N11" s="26"/>
      <c r="O11" s="51"/>
      <c r="P11" s="26"/>
      <c r="Q11" s="26"/>
      <c r="R11" s="52"/>
    </row>
    <row r="12" spans="1:18" ht="15.75" customHeight="1" x14ac:dyDescent="0.25">
      <c r="A12" s="15" t="s">
        <v>33</v>
      </c>
      <c r="B12" s="14">
        <v>53555</v>
      </c>
      <c r="C12" s="14" t="s">
        <v>28</v>
      </c>
      <c r="D12" s="14">
        <v>21.99</v>
      </c>
      <c r="E12" s="14">
        <v>0.2</v>
      </c>
      <c r="F12" s="14">
        <v>500</v>
      </c>
      <c r="G12" s="17">
        <f t="shared" ref="G12:G15" si="18">B12/52</f>
        <v>1029.9038461538462</v>
      </c>
      <c r="H12" s="17">
        <f t="shared" ref="H12:H15" si="19">STDEV(8178,16029,10639,18709)</f>
        <v>4830.0800804265482</v>
      </c>
      <c r="I12" s="14">
        <v>2</v>
      </c>
      <c r="J12" s="17">
        <f t="shared" ref="J12:J15" si="20">I12*G12</f>
        <v>2059.8076923076924</v>
      </c>
      <c r="K12" s="17">
        <f t="shared" ref="K12:K15" si="21">(SQRT(I12))*H12</f>
        <v>6830.7647570873551</v>
      </c>
      <c r="L12" s="17">
        <v>1.65</v>
      </c>
      <c r="M12" s="32">
        <f t="shared" ref="M12:M15" si="22">(SQRT(I12))*H12*L12</f>
        <v>11270.761849194136</v>
      </c>
      <c r="N12" s="17">
        <f t="shared" ref="N12:N15" si="23">J12+M12</f>
        <v>13330.569541501827</v>
      </c>
      <c r="O12" s="39">
        <f t="shared" ref="O12:O15" si="24">M12*E12*D12</f>
        <v>49568.810612755806</v>
      </c>
      <c r="P12" s="17">
        <v>3489.5738946679926</v>
      </c>
      <c r="Q12" s="17">
        <f t="shared" ref="Q12:Q15" si="25">-M12*(1-0.95)+K12*(0.102264924564)</f>
        <v>135.00955013826092</v>
      </c>
      <c r="R12" s="47">
        <f t="shared" ref="R12:R15" si="26">1-(Q12/P12)</f>
        <v>0.96131059143222242</v>
      </c>
    </row>
    <row r="13" spans="1:18" ht="15.75" customHeight="1" x14ac:dyDescent="0.25">
      <c r="A13" s="30"/>
      <c r="B13" s="23">
        <v>53555</v>
      </c>
      <c r="C13" s="23" t="s">
        <v>29</v>
      </c>
      <c r="D13" s="23">
        <v>3.52</v>
      </c>
      <c r="E13" s="23">
        <v>0.2</v>
      </c>
      <c r="F13" s="23">
        <v>500</v>
      </c>
      <c r="G13" s="26">
        <f t="shared" si="18"/>
        <v>1029.9038461538462</v>
      </c>
      <c r="H13" s="26">
        <f t="shared" si="19"/>
        <v>4830.0800804265482</v>
      </c>
      <c r="I13" s="23">
        <v>4</v>
      </c>
      <c r="J13" s="26">
        <f t="shared" si="20"/>
        <v>4119.6153846153848</v>
      </c>
      <c r="K13" s="26">
        <f t="shared" si="21"/>
        <v>9660.1601608530964</v>
      </c>
      <c r="L13" s="26">
        <v>1.65</v>
      </c>
      <c r="M13" s="49">
        <f t="shared" si="22"/>
        <v>15939.264265407608</v>
      </c>
      <c r="N13" s="26">
        <f t="shared" si="23"/>
        <v>20058.879650022995</v>
      </c>
      <c r="O13" s="51">
        <f t="shared" si="24"/>
        <v>11221.242042846958</v>
      </c>
      <c r="P13" s="26">
        <v>8721.9517988703756</v>
      </c>
      <c r="Q13" s="26">
        <f t="shared" si="25"/>
        <v>190.93233685541895</v>
      </c>
      <c r="R13" s="52">
        <f t="shared" si="26"/>
        <v>0.97810898967818793</v>
      </c>
    </row>
    <row r="14" spans="1:18" ht="15.75" customHeight="1" x14ac:dyDescent="0.25">
      <c r="A14" s="30"/>
      <c r="B14" s="23">
        <v>53555</v>
      </c>
      <c r="C14" s="23" t="s">
        <v>30</v>
      </c>
      <c r="D14" s="23">
        <v>9.6</v>
      </c>
      <c r="E14" s="23">
        <v>0.2</v>
      </c>
      <c r="F14" s="23">
        <v>500</v>
      </c>
      <c r="G14" s="26">
        <f t="shared" si="18"/>
        <v>1029.9038461538462</v>
      </c>
      <c r="H14" s="26">
        <f t="shared" si="19"/>
        <v>4830.0800804265482</v>
      </c>
      <c r="I14" s="23">
        <v>4</v>
      </c>
      <c r="J14" s="26">
        <f t="shared" si="20"/>
        <v>4119.6153846153848</v>
      </c>
      <c r="K14" s="26">
        <f t="shared" si="21"/>
        <v>9660.1601608530964</v>
      </c>
      <c r="L14" s="26">
        <v>1.65</v>
      </c>
      <c r="M14" s="49">
        <f t="shared" si="22"/>
        <v>15939.264265407608</v>
      </c>
      <c r="N14" s="26">
        <f t="shared" si="23"/>
        <v>20058.879650022995</v>
      </c>
      <c r="O14" s="51">
        <f t="shared" si="24"/>
        <v>30603.387389582611</v>
      </c>
      <c r="P14" s="26">
        <v>5281.4040904542298</v>
      </c>
      <c r="Q14" s="26">
        <f t="shared" si="25"/>
        <v>190.93233685541895</v>
      </c>
      <c r="R14" s="52">
        <f t="shared" si="26"/>
        <v>0.96384818628051661</v>
      </c>
    </row>
    <row r="15" spans="1:18" ht="15.75" customHeight="1" x14ac:dyDescent="0.25">
      <c r="A15" s="44"/>
      <c r="B15" s="34">
        <v>53555</v>
      </c>
      <c r="C15" s="34" t="s">
        <v>31</v>
      </c>
      <c r="D15" s="34">
        <v>115.28</v>
      </c>
      <c r="E15" s="34">
        <v>0.2</v>
      </c>
      <c r="F15" s="34">
        <v>750</v>
      </c>
      <c r="G15" s="36">
        <f t="shared" si="18"/>
        <v>1029.9038461538462</v>
      </c>
      <c r="H15" s="36">
        <f t="shared" si="19"/>
        <v>4830.0800804265482</v>
      </c>
      <c r="I15" s="34">
        <v>1</v>
      </c>
      <c r="J15" s="36">
        <f t="shared" si="20"/>
        <v>1029.9038461538462</v>
      </c>
      <c r="K15" s="36">
        <f t="shared" si="21"/>
        <v>4830.0800804265482</v>
      </c>
      <c r="L15" s="36">
        <v>1.65</v>
      </c>
      <c r="M15" s="53">
        <f t="shared" si="22"/>
        <v>7969.632132703804</v>
      </c>
      <c r="N15" s="36">
        <f t="shared" si="23"/>
        <v>8999.5359788576498</v>
      </c>
      <c r="O15" s="54">
        <f t="shared" si="24"/>
        <v>183747.83845161894</v>
      </c>
      <c r="P15" s="36">
        <v>1866.6103071776663</v>
      </c>
      <c r="Q15" s="36">
        <f t="shared" si="25"/>
        <v>95.466168427709476</v>
      </c>
      <c r="R15" s="55">
        <f t="shared" si="26"/>
        <v>0.94885586559732693</v>
      </c>
    </row>
    <row r="16" spans="1:18" ht="15.75" customHeight="1" x14ac:dyDescent="0.25">
      <c r="G16" s="26"/>
      <c r="H16" s="26"/>
      <c r="J16" s="26"/>
      <c r="K16" s="26"/>
      <c r="L16" s="26"/>
      <c r="M16" s="49"/>
      <c r="N16" s="26"/>
      <c r="O16" s="51"/>
      <c r="P16" s="26"/>
      <c r="Q16" s="26"/>
      <c r="R16" s="52"/>
    </row>
    <row r="17" spans="1:18" ht="15.75" customHeight="1" x14ac:dyDescent="0.25">
      <c r="A17" s="15" t="s">
        <v>34</v>
      </c>
      <c r="B17" s="14">
        <v>64254</v>
      </c>
      <c r="C17" s="14" t="s">
        <v>28</v>
      </c>
      <c r="D17" s="14">
        <v>21.99</v>
      </c>
      <c r="E17" s="14">
        <v>0.2</v>
      </c>
      <c r="F17" s="14">
        <v>500</v>
      </c>
      <c r="G17" s="17">
        <f t="shared" ref="G17:G20" si="27">B17/52</f>
        <v>1235.6538461538462</v>
      </c>
      <c r="H17" s="17">
        <f t="shared" ref="H17:H20" si="28">STDEV(9961,19345,12732,22216)</f>
        <v>5685.0944583181727</v>
      </c>
      <c r="I17" s="14">
        <v>2</v>
      </c>
      <c r="J17" s="17">
        <f t="shared" ref="J17:J20" si="29">I17*G17</f>
        <v>2471.3076923076924</v>
      </c>
      <c r="K17" s="17">
        <f t="shared" ref="K17:K20" si="30">(SQRT(I17))*H17</f>
        <v>8039.9376863256848</v>
      </c>
      <c r="L17" s="17">
        <v>1.65</v>
      </c>
      <c r="M17" s="32">
        <f t="shared" ref="M17:M20" si="31">(SQRT(I17))*H17*L17</f>
        <v>13265.897182437378</v>
      </c>
      <c r="N17" s="17">
        <f t="shared" ref="N17:N20" si="32">J17+M17</f>
        <v>15737.204874745072</v>
      </c>
      <c r="O17" s="39">
        <f t="shared" ref="O17:O20" si="33">M17*E17*D17</f>
        <v>58343.41580835959</v>
      </c>
      <c r="P17" s="17">
        <v>3822.2797708511048</v>
      </c>
      <c r="Q17" s="17">
        <f t="shared" ref="Q17:Q20" si="34">-M17*(1-0.95)+K17*(0.102264924564)</f>
        <v>158.90876186948742</v>
      </c>
      <c r="R17" s="47">
        <f t="shared" ref="R17:R20" si="35">1-(Q17/P17)</f>
        <v>0.9584256591887037</v>
      </c>
    </row>
    <row r="18" spans="1:18" ht="15.75" customHeight="1" x14ac:dyDescent="0.25">
      <c r="A18" s="30"/>
      <c r="B18" s="23">
        <v>64254</v>
      </c>
      <c r="C18" s="23" t="s">
        <v>29</v>
      </c>
      <c r="D18" s="23">
        <v>3.52</v>
      </c>
      <c r="E18" s="23">
        <v>0.2</v>
      </c>
      <c r="F18" s="23">
        <v>500</v>
      </c>
      <c r="G18" s="26">
        <f t="shared" si="27"/>
        <v>1235.6538461538462</v>
      </c>
      <c r="H18" s="26">
        <f t="shared" si="28"/>
        <v>5685.0944583181727</v>
      </c>
      <c r="I18" s="23">
        <v>4</v>
      </c>
      <c r="J18" s="26">
        <f t="shared" si="29"/>
        <v>4942.6153846153848</v>
      </c>
      <c r="K18" s="26">
        <f t="shared" si="30"/>
        <v>11370.188916636345</v>
      </c>
      <c r="L18" s="26">
        <v>1.65</v>
      </c>
      <c r="M18" s="49">
        <f t="shared" si="31"/>
        <v>18760.811712449969</v>
      </c>
      <c r="N18" s="26">
        <f t="shared" si="32"/>
        <v>23703.427097065352</v>
      </c>
      <c r="O18" s="51">
        <f t="shared" si="33"/>
        <v>13207.611445564778</v>
      </c>
      <c r="P18" s="26">
        <v>9553.5274304120976</v>
      </c>
      <c r="Q18" s="26">
        <f t="shared" si="34"/>
        <v>224.73092621574551</v>
      </c>
      <c r="R18" s="52">
        <f t="shared" si="35"/>
        <v>0.97647665452863497</v>
      </c>
    </row>
    <row r="19" spans="1:18" ht="15.75" customHeight="1" x14ac:dyDescent="0.25">
      <c r="A19" s="30"/>
      <c r="B19" s="23">
        <v>64254</v>
      </c>
      <c r="C19" s="23" t="s">
        <v>30</v>
      </c>
      <c r="D19" s="23">
        <v>9.6</v>
      </c>
      <c r="E19" s="23">
        <v>0.2</v>
      </c>
      <c r="F19" s="23">
        <v>500</v>
      </c>
      <c r="G19" s="26">
        <f t="shared" si="27"/>
        <v>1235.6538461538462</v>
      </c>
      <c r="H19" s="26">
        <f t="shared" si="28"/>
        <v>5685.0944583181727</v>
      </c>
      <c r="I19" s="23">
        <v>4</v>
      </c>
      <c r="J19" s="26">
        <f t="shared" si="29"/>
        <v>4942.6153846153848</v>
      </c>
      <c r="K19" s="26">
        <f t="shared" si="30"/>
        <v>11370.188916636345</v>
      </c>
      <c r="L19" s="26">
        <v>1.65</v>
      </c>
      <c r="M19" s="49">
        <f t="shared" si="31"/>
        <v>18760.811712449969</v>
      </c>
      <c r="N19" s="26">
        <f t="shared" si="32"/>
        <v>23703.427097065352</v>
      </c>
      <c r="O19" s="51">
        <f t="shared" si="33"/>
        <v>36020.758487903942</v>
      </c>
      <c r="P19" s="26">
        <v>5784.9481415134569</v>
      </c>
      <c r="Q19" s="26">
        <f t="shared" si="34"/>
        <v>224.73092621574551</v>
      </c>
      <c r="R19" s="52">
        <f t="shared" si="35"/>
        <v>0.96115247350221678</v>
      </c>
    </row>
    <row r="20" spans="1:18" ht="15.75" customHeight="1" x14ac:dyDescent="0.25">
      <c r="A20" s="44"/>
      <c r="B20" s="34">
        <v>64254</v>
      </c>
      <c r="C20" s="34" t="s">
        <v>31</v>
      </c>
      <c r="D20" s="34">
        <v>115.28</v>
      </c>
      <c r="E20" s="34">
        <v>0.2</v>
      </c>
      <c r="F20" s="34">
        <v>750</v>
      </c>
      <c r="G20" s="36">
        <f t="shared" si="27"/>
        <v>1235.6538461538462</v>
      </c>
      <c r="H20" s="36">
        <f t="shared" si="28"/>
        <v>5685.0944583181727</v>
      </c>
      <c r="I20" s="34">
        <v>1</v>
      </c>
      <c r="J20" s="36">
        <f t="shared" si="29"/>
        <v>1235.6538461538462</v>
      </c>
      <c r="K20" s="36">
        <f t="shared" si="30"/>
        <v>5685.0944583181727</v>
      </c>
      <c r="L20" s="36">
        <v>1.65</v>
      </c>
      <c r="M20" s="53">
        <f t="shared" si="31"/>
        <v>9380.4058562249847</v>
      </c>
      <c r="N20" s="36">
        <f t="shared" si="32"/>
        <v>10616.05970237883</v>
      </c>
      <c r="O20" s="54">
        <f t="shared" si="33"/>
        <v>216274.63742112325</v>
      </c>
      <c r="P20" s="36">
        <v>2044.5782300495389</v>
      </c>
      <c r="Q20" s="36">
        <f t="shared" si="34"/>
        <v>112.36546310787276</v>
      </c>
      <c r="R20" s="55">
        <f t="shared" si="35"/>
        <v>0.94504222853573561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20"/>
  <sheetViews>
    <sheetView workbookViewId="0"/>
  </sheetViews>
  <sheetFormatPr defaultColWidth="12.6328125" defaultRowHeight="15.75" customHeight="1" x14ac:dyDescent="0.25"/>
  <cols>
    <col min="3" max="3" width="14.6328125" customWidth="1"/>
    <col min="7" max="7" width="15.08984375" customWidth="1"/>
    <col min="8" max="8" width="14.7265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6</v>
      </c>
      <c r="G1" s="4" t="s">
        <v>10</v>
      </c>
      <c r="H1" s="5" t="s">
        <v>14</v>
      </c>
    </row>
    <row r="2" spans="1:8" ht="15.75" customHeight="1" x14ac:dyDescent="0.25">
      <c r="A2" s="8" t="s">
        <v>18</v>
      </c>
      <c r="B2" s="9">
        <v>28878</v>
      </c>
      <c r="C2" s="11" t="s">
        <v>28</v>
      </c>
      <c r="D2" s="14">
        <v>21.99</v>
      </c>
      <c r="E2" s="14">
        <v>0.2</v>
      </c>
      <c r="F2" s="16">
        <f t="shared" ref="F2:F5" si="0">B2/2</f>
        <v>14439</v>
      </c>
      <c r="G2" s="17">
        <v>8398.5828777836086</v>
      </c>
      <c r="H2" s="18">
        <f t="shared" ref="H2:H5" si="1">(F2+G2)*E2*D2</f>
        <v>100439.6894964923</v>
      </c>
    </row>
    <row r="3" spans="1:8" ht="15.75" customHeight="1" x14ac:dyDescent="0.25">
      <c r="A3" s="20"/>
      <c r="B3" s="21">
        <v>28878</v>
      </c>
      <c r="C3" s="22" t="s">
        <v>29</v>
      </c>
      <c r="D3" s="23">
        <v>3.52</v>
      </c>
      <c r="E3" s="23">
        <v>0.2</v>
      </c>
      <c r="F3" s="25">
        <f t="shared" si="0"/>
        <v>14439</v>
      </c>
      <c r="G3" s="26">
        <v>11877.389810476037</v>
      </c>
      <c r="H3" s="27">
        <f t="shared" si="1"/>
        <v>18526.738426575132</v>
      </c>
    </row>
    <row r="4" spans="1:8" ht="15.75" customHeight="1" x14ac:dyDescent="0.25">
      <c r="A4" s="20"/>
      <c r="B4" s="21">
        <v>28878</v>
      </c>
      <c r="C4" s="22" t="s">
        <v>30</v>
      </c>
      <c r="D4" s="23">
        <v>9.6</v>
      </c>
      <c r="E4" s="23">
        <v>0.2</v>
      </c>
      <c r="F4" s="25">
        <f t="shared" si="0"/>
        <v>14439</v>
      </c>
      <c r="G4" s="26">
        <v>11877.389810476037</v>
      </c>
      <c r="H4" s="27">
        <f t="shared" si="1"/>
        <v>50527.468436113995</v>
      </c>
    </row>
    <row r="5" spans="1:8" ht="15.75" customHeight="1" x14ac:dyDescent="0.25">
      <c r="A5" s="29"/>
      <c r="B5" s="31">
        <v>28878</v>
      </c>
      <c r="C5" s="33" t="s">
        <v>31</v>
      </c>
      <c r="D5" s="34">
        <v>115.28</v>
      </c>
      <c r="E5" s="34">
        <v>0.2</v>
      </c>
      <c r="F5" s="35">
        <f t="shared" si="0"/>
        <v>14439</v>
      </c>
      <c r="G5" s="36">
        <v>5938.6949052380187</v>
      </c>
      <c r="H5" s="38">
        <f t="shared" si="1"/>
        <v>469828.13373516779</v>
      </c>
    </row>
    <row r="6" spans="1:8" ht="15.75" customHeight="1" x14ac:dyDescent="0.25">
      <c r="A6" s="22"/>
      <c r="B6" s="22"/>
      <c r="C6" s="22"/>
      <c r="F6" s="41"/>
      <c r="G6" s="26"/>
      <c r="H6" s="42"/>
    </row>
    <row r="7" spans="1:8" ht="15.75" customHeight="1" x14ac:dyDescent="0.25">
      <c r="A7" s="8" t="s">
        <v>32</v>
      </c>
      <c r="B7" s="9">
        <v>43188</v>
      </c>
      <c r="C7" s="11" t="s">
        <v>28</v>
      </c>
      <c r="D7" s="14">
        <v>21.99</v>
      </c>
      <c r="E7" s="14">
        <v>0.2</v>
      </c>
      <c r="F7" s="16">
        <f t="shared" ref="F7:F10" si="2">B7/2</f>
        <v>21594</v>
      </c>
      <c r="G7" s="17">
        <v>9416.8073602468903</v>
      </c>
      <c r="H7" s="18">
        <f t="shared" ref="H7:H10" si="3">(F7+G7)*E7*D7</f>
        <v>136385.53077036582</v>
      </c>
    </row>
    <row r="8" spans="1:8" ht="15.75" customHeight="1" x14ac:dyDescent="0.25">
      <c r="A8" s="20"/>
      <c r="B8" s="21">
        <v>43188</v>
      </c>
      <c r="C8" s="22" t="s">
        <v>29</v>
      </c>
      <c r="D8" s="23">
        <v>3.52</v>
      </c>
      <c r="E8" s="23">
        <v>0.2</v>
      </c>
      <c r="F8" s="25">
        <f t="shared" si="2"/>
        <v>21594</v>
      </c>
      <c r="G8" s="26">
        <v>13317.376683115936</v>
      </c>
      <c r="H8" s="27">
        <f t="shared" si="3"/>
        <v>24577.609184913621</v>
      </c>
    </row>
    <row r="9" spans="1:8" ht="15.75" customHeight="1" x14ac:dyDescent="0.25">
      <c r="A9" s="20"/>
      <c r="B9" s="21">
        <v>43188</v>
      </c>
      <c r="C9" s="22" t="s">
        <v>30</v>
      </c>
      <c r="D9" s="23">
        <v>9.6</v>
      </c>
      <c r="E9" s="23">
        <v>0.2</v>
      </c>
      <c r="F9" s="25">
        <f t="shared" si="2"/>
        <v>21594</v>
      </c>
      <c r="G9" s="26">
        <v>13317.376683115936</v>
      </c>
      <c r="H9" s="27">
        <f t="shared" si="3"/>
        <v>67029.843231582607</v>
      </c>
    </row>
    <row r="10" spans="1:8" ht="15.75" customHeight="1" x14ac:dyDescent="0.25">
      <c r="A10" s="29"/>
      <c r="B10" s="31">
        <v>43188</v>
      </c>
      <c r="C10" s="33" t="s">
        <v>31</v>
      </c>
      <c r="D10" s="34">
        <v>115.28</v>
      </c>
      <c r="E10" s="34">
        <v>0.2</v>
      </c>
      <c r="F10" s="35">
        <f t="shared" si="2"/>
        <v>21594</v>
      </c>
      <c r="G10" s="36">
        <v>6658.6883415579678</v>
      </c>
      <c r="H10" s="38">
        <f t="shared" si="3"/>
        <v>651393.98240296054</v>
      </c>
    </row>
    <row r="11" spans="1:8" ht="15.75" customHeight="1" x14ac:dyDescent="0.25">
      <c r="A11" s="22"/>
      <c r="B11" s="22"/>
      <c r="C11" s="22"/>
      <c r="F11" s="41"/>
      <c r="G11" s="26"/>
      <c r="H11" s="42"/>
    </row>
    <row r="12" spans="1:8" ht="15.75" customHeight="1" x14ac:dyDescent="0.25">
      <c r="A12" s="8" t="s">
        <v>33</v>
      </c>
      <c r="B12" s="9">
        <v>53555</v>
      </c>
      <c r="C12" s="11" t="s">
        <v>28</v>
      </c>
      <c r="D12" s="14">
        <v>21.99</v>
      </c>
      <c r="E12" s="14">
        <v>0.2</v>
      </c>
      <c r="F12" s="16">
        <f t="shared" ref="F12:F15" si="4">B12/2</f>
        <v>26777.5</v>
      </c>
      <c r="G12" s="17">
        <v>11270.761849194136</v>
      </c>
      <c r="H12" s="18">
        <f t="shared" ref="H12:H15" si="5">(F12+G12)*E12*D12</f>
        <v>167336.25561275583</v>
      </c>
    </row>
    <row r="13" spans="1:8" ht="15.75" customHeight="1" x14ac:dyDescent="0.25">
      <c r="A13" s="20"/>
      <c r="B13" s="21">
        <v>53555</v>
      </c>
      <c r="C13" s="22" t="s">
        <v>29</v>
      </c>
      <c r="D13" s="23">
        <v>3.52</v>
      </c>
      <c r="E13" s="23">
        <v>0.2</v>
      </c>
      <c r="F13" s="25">
        <f t="shared" si="4"/>
        <v>26777.5</v>
      </c>
      <c r="G13" s="26">
        <v>15939.264265407608</v>
      </c>
      <c r="H13" s="27">
        <f t="shared" si="5"/>
        <v>30072.602042846956</v>
      </c>
    </row>
    <row r="14" spans="1:8" ht="15.75" customHeight="1" x14ac:dyDescent="0.25">
      <c r="A14" s="20"/>
      <c r="B14" s="21">
        <v>53555</v>
      </c>
      <c r="C14" s="22" t="s">
        <v>30</v>
      </c>
      <c r="D14" s="23">
        <v>9.6</v>
      </c>
      <c r="E14" s="23">
        <v>0.2</v>
      </c>
      <c r="F14" s="25">
        <f t="shared" si="4"/>
        <v>26777.5</v>
      </c>
      <c r="G14" s="26">
        <v>15939.264265407608</v>
      </c>
      <c r="H14" s="27">
        <f t="shared" si="5"/>
        <v>82016.187389582614</v>
      </c>
    </row>
    <row r="15" spans="1:8" ht="15.75" customHeight="1" x14ac:dyDescent="0.25">
      <c r="A15" s="29"/>
      <c r="B15" s="31">
        <v>53555</v>
      </c>
      <c r="C15" s="33" t="s">
        <v>31</v>
      </c>
      <c r="D15" s="34">
        <v>115.28</v>
      </c>
      <c r="E15" s="34">
        <v>0.2</v>
      </c>
      <c r="F15" s="35">
        <f t="shared" si="4"/>
        <v>26777.5</v>
      </c>
      <c r="G15" s="36">
        <v>7969.632132703804</v>
      </c>
      <c r="H15" s="38">
        <f t="shared" si="5"/>
        <v>801129.87845161895</v>
      </c>
    </row>
    <row r="16" spans="1:8" ht="15.75" customHeight="1" x14ac:dyDescent="0.25">
      <c r="A16" s="22"/>
      <c r="B16" s="22"/>
      <c r="C16" s="22"/>
      <c r="F16" s="41"/>
      <c r="G16" s="26"/>
      <c r="H16" s="42"/>
    </row>
    <row r="17" spans="1:8" ht="15.75" customHeight="1" x14ac:dyDescent="0.25">
      <c r="A17" s="8" t="s">
        <v>34</v>
      </c>
      <c r="B17" s="9">
        <v>64254</v>
      </c>
      <c r="C17" s="11" t="s">
        <v>28</v>
      </c>
      <c r="D17" s="14">
        <v>21.99</v>
      </c>
      <c r="E17" s="14">
        <v>0.2</v>
      </c>
      <c r="F17" s="16">
        <f t="shared" ref="F17:F20" si="6">B17/2</f>
        <v>32127</v>
      </c>
      <c r="G17" s="17">
        <v>13265.897182437378</v>
      </c>
      <c r="H17" s="18">
        <f t="shared" ref="H17:H20" si="7">(F17+G17)*E17*D17</f>
        <v>199637.9618083596</v>
      </c>
    </row>
    <row r="18" spans="1:8" ht="15.75" customHeight="1" x14ac:dyDescent="0.25">
      <c r="A18" s="20"/>
      <c r="B18" s="21">
        <v>64254</v>
      </c>
      <c r="C18" s="22" t="s">
        <v>29</v>
      </c>
      <c r="D18" s="23">
        <v>3.52</v>
      </c>
      <c r="E18" s="23">
        <v>0.2</v>
      </c>
      <c r="F18" s="25">
        <f t="shared" si="6"/>
        <v>32127</v>
      </c>
      <c r="G18" s="26">
        <v>18760.811712449969</v>
      </c>
      <c r="H18" s="27">
        <f t="shared" si="7"/>
        <v>35825.01944556478</v>
      </c>
    </row>
    <row r="19" spans="1:8" ht="15.75" customHeight="1" x14ac:dyDescent="0.25">
      <c r="A19" s="20"/>
      <c r="B19" s="21">
        <v>64254</v>
      </c>
      <c r="C19" s="22" t="s">
        <v>30</v>
      </c>
      <c r="D19" s="23">
        <v>9.6</v>
      </c>
      <c r="E19" s="23">
        <v>0.2</v>
      </c>
      <c r="F19" s="25">
        <f t="shared" si="6"/>
        <v>32127</v>
      </c>
      <c r="G19" s="26">
        <v>18760.811712449969</v>
      </c>
      <c r="H19" s="27">
        <f t="shared" si="7"/>
        <v>97704.598487903946</v>
      </c>
    </row>
    <row r="20" spans="1:8" ht="15.75" customHeight="1" x14ac:dyDescent="0.25">
      <c r="A20" s="29"/>
      <c r="B20" s="31">
        <v>64254</v>
      </c>
      <c r="C20" s="33" t="s">
        <v>31</v>
      </c>
      <c r="D20" s="34">
        <v>115.28</v>
      </c>
      <c r="E20" s="34">
        <v>0.2</v>
      </c>
      <c r="F20" s="35">
        <f t="shared" si="6"/>
        <v>32127</v>
      </c>
      <c r="G20" s="36">
        <v>9380.4058562249847</v>
      </c>
      <c r="H20" s="38">
        <f t="shared" si="7"/>
        <v>956994.7494211233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Cycle Inventory</vt:lpstr>
      <vt:lpstr>Safety Inventory</vt:lpstr>
      <vt:lpstr>Holding 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gpothula</cp:lastModifiedBy>
  <dcterms:modified xsi:type="dcterms:W3CDTF">2026-09-29T19:43:25Z</dcterms:modified>
</cp:coreProperties>
</file>